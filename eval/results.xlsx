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_without_double_cme_column\Thesis_fix_normalization\eval\"/>
    </mc:Choice>
  </mc:AlternateContent>
  <xr:revisionPtr revIDLastSave="0" documentId="13_ncr:1_{6897C4C1-3A9B-4812-BF98-168980A36F4F}" xr6:coauthVersionLast="47" xr6:coauthVersionMax="47" xr10:uidLastSave="{00000000-0000-0000-0000-000000000000}"/>
  <bookViews>
    <workbookView xWindow="-105" yWindow="0" windowWidth="38535" windowHeight="20985" xr2:uid="{00000000-000D-0000-FFFF-FFFF00000000}"/>
  </bookViews>
  <sheets>
    <sheet name="results" sheetId="1" r:id="rId1"/>
    <sheet name="best_median_reg" sheetId="3" r:id="rId2"/>
    <sheet name="best_median_rRT" sheetId="4" r:id="rId3"/>
    <sheet name="autoencoder" sheetId="6" r:id="rId4"/>
    <sheet name="richardson_3fold_4fold" sheetId="12" r:id="rId5"/>
    <sheet name="richardson_3fold_4fold_sigma" sheetId="17" r:id="rId6"/>
    <sheet name="richardson_3fold_4fold_wv_sigma" sheetId="15" r:id="rId7"/>
    <sheet name="richardson_3fold_4fold_all" sheetId="1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1" i="12" l="1"/>
  <c r="K90" i="12"/>
  <c r="K89" i="12"/>
  <c r="K88" i="12"/>
  <c r="K87" i="12"/>
  <c r="K86" i="12"/>
  <c r="K85" i="12"/>
  <c r="K84" i="12"/>
  <c r="K83" i="12"/>
  <c r="K82" i="12"/>
  <c r="K43" i="12"/>
  <c r="K44" i="12"/>
  <c r="K45" i="12"/>
  <c r="K46" i="12"/>
  <c r="K47" i="12"/>
  <c r="K48" i="12"/>
  <c r="K49" i="12"/>
  <c r="K50" i="12"/>
  <c r="K51" i="12"/>
  <c r="K42" i="12"/>
  <c r="AM37" i="12"/>
  <c r="AL37" i="12"/>
  <c r="AI37" i="12"/>
  <c r="AM36" i="12"/>
  <c r="AL36" i="12"/>
  <c r="AI36" i="12"/>
  <c r="AM35" i="12"/>
  <c r="AL35" i="12"/>
  <c r="AI35" i="12"/>
  <c r="AM34" i="12"/>
  <c r="AL34" i="12"/>
  <c r="AI34" i="12"/>
  <c r="AM33" i="12"/>
  <c r="AL33" i="12"/>
  <c r="AI33" i="12"/>
  <c r="AM32" i="12"/>
  <c r="AL32" i="12"/>
  <c r="AI32" i="12"/>
  <c r="AM31" i="12"/>
  <c r="AL31" i="12"/>
  <c r="AI31" i="12"/>
  <c r="AM30" i="12"/>
  <c r="AL30" i="12"/>
  <c r="AI30" i="12"/>
  <c r="AM29" i="12"/>
  <c r="AL29" i="12"/>
  <c r="AI29" i="12"/>
  <c r="AM25" i="12"/>
  <c r="AL25" i="12"/>
  <c r="AI25" i="12"/>
  <c r="AM24" i="12"/>
  <c r="AL24" i="12"/>
  <c r="AI24" i="12"/>
  <c r="AM23" i="12"/>
  <c r="AL23" i="12"/>
  <c r="AI23" i="12"/>
  <c r="AM22" i="12"/>
  <c r="AL22" i="12"/>
  <c r="AI22" i="12"/>
  <c r="AM21" i="12"/>
  <c r="AL21" i="12"/>
  <c r="AI21" i="12"/>
  <c r="AM20" i="12"/>
  <c r="AL20" i="12"/>
  <c r="AI20" i="12"/>
  <c r="AM19" i="12"/>
  <c r="AL19" i="12"/>
  <c r="AI19" i="12"/>
  <c r="AM18" i="12"/>
  <c r="AL18" i="12"/>
  <c r="AI18" i="12"/>
  <c r="AM17" i="12"/>
  <c r="AL17" i="12"/>
  <c r="AI17" i="12"/>
  <c r="AM16" i="12"/>
  <c r="AL16" i="12"/>
  <c r="AI16" i="12"/>
  <c r="AM4" i="12"/>
  <c r="AM5" i="12"/>
  <c r="AM6" i="12"/>
  <c r="AM7" i="12"/>
  <c r="AM8" i="12"/>
  <c r="AM9" i="12"/>
  <c r="AM10" i="12"/>
  <c r="AM11" i="12"/>
  <c r="AM12" i="12"/>
  <c r="AM3" i="12"/>
  <c r="AL4" i="12"/>
  <c r="AL5" i="12"/>
  <c r="AL6" i="12"/>
  <c r="AL7" i="12"/>
  <c r="AL8" i="12"/>
  <c r="AL9" i="12"/>
  <c r="AL10" i="12"/>
  <c r="AL11" i="12"/>
  <c r="AL12" i="12"/>
  <c r="AL3" i="12"/>
  <c r="AI4" i="12"/>
  <c r="AI5" i="12"/>
  <c r="AI6" i="12"/>
  <c r="AI7" i="12"/>
  <c r="AI8" i="12"/>
  <c r="AI9" i="12"/>
  <c r="AI10" i="12"/>
  <c r="AI11" i="12"/>
  <c r="AI12" i="12"/>
  <c r="AI3" i="12"/>
  <c r="B109" i="12"/>
  <c r="D109" i="12" s="1"/>
  <c r="B110" i="12"/>
  <c r="B111" i="12"/>
  <c r="D111" i="12" s="1"/>
  <c r="B112" i="12"/>
  <c r="B113" i="12"/>
  <c r="B114" i="12"/>
  <c r="B115" i="12"/>
  <c r="B116" i="12"/>
  <c r="B108" i="12"/>
  <c r="B96" i="12"/>
  <c r="D96" i="12" s="1"/>
  <c r="B97" i="12"/>
  <c r="B98" i="12"/>
  <c r="B99" i="12"/>
  <c r="D99" i="12" s="1"/>
  <c r="B100" i="12"/>
  <c r="B101" i="12"/>
  <c r="D101" i="12" s="1"/>
  <c r="B102" i="12"/>
  <c r="B103" i="12"/>
  <c r="B104" i="12"/>
  <c r="D104" i="12" s="1"/>
  <c r="B95" i="12"/>
  <c r="B83" i="12"/>
  <c r="B84" i="12"/>
  <c r="B85" i="12"/>
  <c r="B86" i="12"/>
  <c r="D86" i="12" s="1"/>
  <c r="B87" i="12"/>
  <c r="B88" i="12"/>
  <c r="B89" i="12"/>
  <c r="B90" i="12"/>
  <c r="D90" i="12" s="1"/>
  <c r="B91" i="12"/>
  <c r="D91" i="12" s="1"/>
  <c r="B82" i="12"/>
  <c r="D82" i="12" s="1"/>
  <c r="D110" i="12"/>
  <c r="D116" i="12"/>
  <c r="D108" i="12"/>
  <c r="D97" i="12"/>
  <c r="D98" i="12"/>
  <c r="D100" i="12"/>
  <c r="D102" i="12"/>
  <c r="AL86" i="12"/>
  <c r="P86" i="12"/>
  <c r="AL46" i="12"/>
  <c r="P46" i="12"/>
  <c r="D87" i="12"/>
  <c r="D89" i="12"/>
  <c r="D103" i="12"/>
  <c r="D112" i="12"/>
  <c r="D113" i="12"/>
  <c r="D114" i="12"/>
  <c r="D115" i="12"/>
  <c r="AL110" i="12"/>
  <c r="AL111" i="12"/>
  <c r="AL98" i="12"/>
  <c r="AL85" i="12"/>
  <c r="AL70" i="12"/>
  <c r="AL71" i="12"/>
  <c r="AL58" i="12"/>
  <c r="AL45" i="12"/>
  <c r="AA114" i="12"/>
  <c r="AA115" i="12"/>
  <c r="AA116" i="12"/>
  <c r="AA101" i="12"/>
  <c r="AA102" i="12"/>
  <c r="AA103" i="12"/>
  <c r="AA104" i="12"/>
  <c r="AA88" i="12"/>
  <c r="AA89" i="12"/>
  <c r="AA90" i="12"/>
  <c r="AA91" i="12"/>
  <c r="AA74" i="12"/>
  <c r="AA75" i="12"/>
  <c r="AA76" i="12"/>
  <c r="AA61" i="12"/>
  <c r="AA62" i="12"/>
  <c r="AA63" i="12"/>
  <c r="AA64" i="12"/>
  <c r="AA48" i="12"/>
  <c r="AA49" i="12"/>
  <c r="AA50" i="12"/>
  <c r="AA51" i="12"/>
  <c r="P110" i="12"/>
  <c r="P111" i="12"/>
  <c r="P98" i="12"/>
  <c r="P85" i="12"/>
  <c r="P70" i="12"/>
  <c r="P71" i="12"/>
  <c r="P58" i="12"/>
  <c r="P45" i="12"/>
  <c r="D88" i="12"/>
  <c r="D48" i="12"/>
  <c r="D49" i="12"/>
  <c r="D50" i="12"/>
  <c r="D51" i="12"/>
  <c r="D61" i="12"/>
  <c r="D62" i="12"/>
  <c r="D63" i="12"/>
  <c r="D64" i="12"/>
  <c r="D74" i="12"/>
  <c r="D75" i="12"/>
  <c r="D76" i="12"/>
  <c r="AA113" i="12"/>
  <c r="AA110" i="12"/>
  <c r="AL97" i="12"/>
  <c r="AL57" i="12"/>
  <c r="P57" i="12"/>
  <c r="P97" i="12"/>
  <c r="P109" i="12"/>
  <c r="AL84" i="12"/>
  <c r="AL44" i="12"/>
  <c r="P44" i="12"/>
  <c r="P84" i="12"/>
  <c r="AL95" i="12"/>
  <c r="AL96" i="12"/>
  <c r="P83" i="12"/>
  <c r="P43" i="12"/>
  <c r="P42" i="12"/>
  <c r="P69" i="12"/>
  <c r="P68" i="12"/>
  <c r="AA114" i="16"/>
  <c r="D114" i="16"/>
  <c r="AA113" i="16"/>
  <c r="D113" i="16"/>
  <c r="AA112" i="16"/>
  <c r="D112" i="16"/>
  <c r="AA111" i="16"/>
  <c r="D111" i="16"/>
  <c r="AL110" i="16"/>
  <c r="AA110" i="16"/>
  <c r="P110" i="16"/>
  <c r="D110" i="16"/>
  <c r="AL109" i="16"/>
  <c r="AA109" i="16"/>
  <c r="P109" i="16"/>
  <c r="D109" i="16"/>
  <c r="AL108" i="16"/>
  <c r="AA108" i="16"/>
  <c r="P108" i="16"/>
  <c r="D108" i="16"/>
  <c r="E106" i="16" s="1"/>
  <c r="G106" i="16" s="1"/>
  <c r="AL107" i="16"/>
  <c r="AA107" i="16"/>
  <c r="AC106" i="16" s="1"/>
  <c r="P107" i="16"/>
  <c r="D107" i="16"/>
  <c r="AL106" i="16"/>
  <c r="AN106" i="16" s="1"/>
  <c r="AA106" i="16"/>
  <c r="AB106" i="16" s="1"/>
  <c r="AD106" i="16" s="1"/>
  <c r="P106" i="16"/>
  <c r="R106" i="16" s="1"/>
  <c r="F106" i="16"/>
  <c r="D106" i="16"/>
  <c r="AA102" i="16"/>
  <c r="D102" i="16"/>
  <c r="AA101" i="16"/>
  <c r="D101" i="16"/>
  <c r="AA100" i="16"/>
  <c r="D100" i="16"/>
  <c r="AA99" i="16"/>
  <c r="D99" i="16"/>
  <c r="AA98" i="16"/>
  <c r="D98" i="16"/>
  <c r="AA97" i="16"/>
  <c r="D97" i="16"/>
  <c r="F93" i="16" s="1"/>
  <c r="AL96" i="16"/>
  <c r="AA96" i="16"/>
  <c r="P96" i="16"/>
  <c r="D96" i="16"/>
  <c r="AL95" i="16"/>
  <c r="AA95" i="16"/>
  <c r="P95" i="16"/>
  <c r="D95" i="16"/>
  <c r="AL94" i="16"/>
  <c r="AA94" i="16"/>
  <c r="AB93" i="16" s="1"/>
  <c r="AD93" i="16" s="1"/>
  <c r="P94" i="16"/>
  <c r="D94" i="16"/>
  <c r="AL93" i="16"/>
  <c r="AN93" i="16" s="1"/>
  <c r="AC93" i="16"/>
  <c r="AA93" i="16"/>
  <c r="P93" i="16"/>
  <c r="R93" i="16" s="1"/>
  <c r="D93" i="16"/>
  <c r="E93" i="16" s="1"/>
  <c r="G93" i="16" s="1"/>
  <c r="AA89" i="16"/>
  <c r="D89" i="16"/>
  <c r="AA88" i="16"/>
  <c r="D88" i="16"/>
  <c r="AA87" i="16"/>
  <c r="D87" i="16"/>
  <c r="AA86" i="16"/>
  <c r="D86" i="16"/>
  <c r="AA85" i="16"/>
  <c r="D85" i="16"/>
  <c r="AA84" i="16"/>
  <c r="D84" i="16"/>
  <c r="AL83" i="16"/>
  <c r="AA83" i="16"/>
  <c r="P83" i="16"/>
  <c r="D83" i="16"/>
  <c r="AL82" i="16"/>
  <c r="AA82" i="16"/>
  <c r="P82" i="16"/>
  <c r="D82" i="16"/>
  <c r="AL81" i="16"/>
  <c r="AA81" i="16"/>
  <c r="P81" i="16"/>
  <c r="D81" i="16"/>
  <c r="AL80" i="16"/>
  <c r="AN80" i="16" s="1"/>
  <c r="AA80" i="16"/>
  <c r="AC80" i="16" s="1"/>
  <c r="R80" i="16"/>
  <c r="Q80" i="16"/>
  <c r="S80" i="16" s="1"/>
  <c r="P80" i="16"/>
  <c r="D80" i="16"/>
  <c r="F80" i="16" s="1"/>
  <c r="AA74" i="16"/>
  <c r="D74" i="16"/>
  <c r="AA73" i="16"/>
  <c r="D73" i="16"/>
  <c r="AA72" i="16"/>
  <c r="D72" i="16"/>
  <c r="AA71" i="16"/>
  <c r="D71" i="16"/>
  <c r="AL70" i="16"/>
  <c r="AA70" i="16"/>
  <c r="P70" i="16"/>
  <c r="D70" i="16"/>
  <c r="AL69" i="16"/>
  <c r="AA69" i="16"/>
  <c r="P69" i="16"/>
  <c r="D69" i="16"/>
  <c r="AL68" i="16"/>
  <c r="AA68" i="16"/>
  <c r="P68" i="16"/>
  <c r="D68" i="16"/>
  <c r="AL67" i="16"/>
  <c r="AA67" i="16"/>
  <c r="P67" i="16"/>
  <c r="D67" i="16"/>
  <c r="AN66" i="16"/>
  <c r="AL66" i="16"/>
  <c r="AM66" i="16" s="1"/>
  <c r="AO66" i="16" s="1"/>
  <c r="AA66" i="16"/>
  <c r="AC66" i="16" s="1"/>
  <c r="R66" i="16"/>
  <c r="P66" i="16"/>
  <c r="Q66" i="16" s="1"/>
  <c r="S66" i="16" s="1"/>
  <c r="D66" i="16"/>
  <c r="F66" i="16" s="1"/>
  <c r="AA62" i="16"/>
  <c r="D62" i="16"/>
  <c r="AA61" i="16"/>
  <c r="D61" i="16"/>
  <c r="AA60" i="16"/>
  <c r="D60" i="16"/>
  <c r="AA59" i="16"/>
  <c r="D59" i="16"/>
  <c r="AA58" i="16"/>
  <c r="D58" i="16"/>
  <c r="AA57" i="16"/>
  <c r="D57" i="16"/>
  <c r="AL56" i="16"/>
  <c r="AA56" i="16"/>
  <c r="P56" i="16"/>
  <c r="D56" i="16"/>
  <c r="AL55" i="16"/>
  <c r="AN53" i="16" s="1"/>
  <c r="AA55" i="16"/>
  <c r="P55" i="16"/>
  <c r="D55" i="16"/>
  <c r="AL54" i="16"/>
  <c r="AA54" i="16"/>
  <c r="P54" i="16"/>
  <c r="D54" i="16"/>
  <c r="AL53" i="16"/>
  <c r="AM53" i="16" s="1"/>
  <c r="AA53" i="16"/>
  <c r="AC53" i="16" s="1"/>
  <c r="R53" i="16"/>
  <c r="P53" i="16"/>
  <c r="Q53" i="16" s="1"/>
  <c r="S53" i="16" s="1"/>
  <c r="D53" i="16"/>
  <c r="F53" i="16" s="1"/>
  <c r="AA49" i="16"/>
  <c r="D49" i="16"/>
  <c r="AA48" i="16"/>
  <c r="D48" i="16"/>
  <c r="AA47" i="16"/>
  <c r="D47" i="16"/>
  <c r="AA46" i="16"/>
  <c r="D46" i="16"/>
  <c r="AA45" i="16"/>
  <c r="D45" i="16"/>
  <c r="F40" i="16" s="1"/>
  <c r="AA44" i="16"/>
  <c r="D44" i="16"/>
  <c r="AL43" i="16"/>
  <c r="AA43" i="16"/>
  <c r="P43" i="16"/>
  <c r="D43" i="16"/>
  <c r="AL42" i="16"/>
  <c r="AA42" i="16"/>
  <c r="P42" i="16"/>
  <c r="D42" i="16"/>
  <c r="AL41" i="16"/>
  <c r="AA41" i="16"/>
  <c r="P41" i="16"/>
  <c r="D41" i="16"/>
  <c r="AL40" i="16"/>
  <c r="AN40" i="16" s="1"/>
  <c r="AA40" i="16"/>
  <c r="AC40" i="16" s="1"/>
  <c r="P40" i="16"/>
  <c r="R40" i="16" s="1"/>
  <c r="D40" i="16"/>
  <c r="E40" i="16" s="1"/>
  <c r="G40" i="16" s="1"/>
  <c r="AA114" i="15"/>
  <c r="D114" i="15"/>
  <c r="AA113" i="15"/>
  <c r="D113" i="15"/>
  <c r="AA112" i="15"/>
  <c r="D112" i="15"/>
  <c r="AA111" i="15"/>
  <c r="D111" i="15"/>
  <c r="AL110" i="15"/>
  <c r="AA110" i="15"/>
  <c r="P110" i="15"/>
  <c r="D110" i="15"/>
  <c r="AL109" i="15"/>
  <c r="AA109" i="15"/>
  <c r="P109" i="15"/>
  <c r="D109" i="15"/>
  <c r="E106" i="15" s="1"/>
  <c r="G106" i="15" s="1"/>
  <c r="AL108" i="15"/>
  <c r="AA108" i="15"/>
  <c r="P108" i="15"/>
  <c r="D108" i="15"/>
  <c r="F106" i="15" s="1"/>
  <c r="AL107" i="15"/>
  <c r="AM106" i="15" s="1"/>
  <c r="AO106" i="15" s="1"/>
  <c r="AA107" i="15"/>
  <c r="P107" i="15"/>
  <c r="D107" i="15"/>
  <c r="AL106" i="15"/>
  <c r="AN106" i="15" s="1"/>
  <c r="AA106" i="15"/>
  <c r="AB106" i="15" s="1"/>
  <c r="P106" i="15"/>
  <c r="R106" i="15" s="1"/>
  <c r="D106" i="15"/>
  <c r="AA102" i="15"/>
  <c r="D102" i="15"/>
  <c r="AA101" i="15"/>
  <c r="D101" i="15"/>
  <c r="AA100" i="15"/>
  <c r="D100" i="15"/>
  <c r="AA99" i="15"/>
  <c r="D99" i="15"/>
  <c r="AA98" i="15"/>
  <c r="AB93" i="15" s="1"/>
  <c r="D98" i="15"/>
  <c r="AA97" i="15"/>
  <c r="D97" i="15"/>
  <c r="AL96" i="15"/>
  <c r="AA96" i="15"/>
  <c r="P96" i="15"/>
  <c r="D96" i="15"/>
  <c r="AL95" i="15"/>
  <c r="AA95" i="15"/>
  <c r="P95" i="15"/>
  <c r="D95" i="15"/>
  <c r="AL94" i="15"/>
  <c r="AA94" i="15"/>
  <c r="AC93" i="15" s="1"/>
  <c r="P94" i="15"/>
  <c r="Q93" i="15" s="1"/>
  <c r="S93" i="15" s="1"/>
  <c r="D94" i="15"/>
  <c r="AL93" i="15"/>
  <c r="AN93" i="15" s="1"/>
  <c r="AA93" i="15"/>
  <c r="P93" i="15"/>
  <c r="R93" i="15" s="1"/>
  <c r="D93" i="15"/>
  <c r="E93" i="15" s="1"/>
  <c r="AA89" i="15"/>
  <c r="D89" i="15"/>
  <c r="AA88" i="15"/>
  <c r="D88" i="15"/>
  <c r="AA87" i="15"/>
  <c r="D87" i="15"/>
  <c r="AA86" i="15"/>
  <c r="D86" i="15"/>
  <c r="AA85" i="15"/>
  <c r="D85" i="15"/>
  <c r="AA84" i="15"/>
  <c r="D84" i="15"/>
  <c r="AL83" i="15"/>
  <c r="AA83" i="15"/>
  <c r="P83" i="15"/>
  <c r="D83" i="15"/>
  <c r="E80" i="15" s="1"/>
  <c r="G80" i="15" s="1"/>
  <c r="AL82" i="15"/>
  <c r="AA82" i="15"/>
  <c r="P82" i="15"/>
  <c r="D82" i="15"/>
  <c r="AL81" i="15"/>
  <c r="AA81" i="15"/>
  <c r="P81" i="15"/>
  <c r="D81" i="15"/>
  <c r="AL80" i="15"/>
  <c r="AN80" i="15" s="1"/>
  <c r="AC80" i="15"/>
  <c r="AD80" i="15" s="1"/>
  <c r="AB80" i="15"/>
  <c r="AA80" i="15"/>
  <c r="P80" i="15"/>
  <c r="R80" i="15" s="1"/>
  <c r="D80" i="15"/>
  <c r="F80" i="15" s="1"/>
  <c r="AA74" i="15"/>
  <c r="D74" i="15"/>
  <c r="AA73" i="15"/>
  <c r="D73" i="15"/>
  <c r="AA72" i="15"/>
  <c r="AB66" i="15" s="1"/>
  <c r="D72" i="15"/>
  <c r="AA71" i="15"/>
  <c r="D71" i="15"/>
  <c r="AL70" i="15"/>
  <c r="AA70" i="15"/>
  <c r="P70" i="15"/>
  <c r="D70" i="15"/>
  <c r="AL69" i="15"/>
  <c r="AA69" i="15"/>
  <c r="P69" i="15"/>
  <c r="D69" i="15"/>
  <c r="AL68" i="15"/>
  <c r="AA68" i="15"/>
  <c r="P68" i="15"/>
  <c r="D68" i="15"/>
  <c r="AL67" i="15"/>
  <c r="AM66" i="15" s="1"/>
  <c r="AA67" i="15"/>
  <c r="P67" i="15"/>
  <c r="D67" i="15"/>
  <c r="AL66" i="15"/>
  <c r="AN66" i="15" s="1"/>
  <c r="AA66" i="15"/>
  <c r="AC66" i="15" s="1"/>
  <c r="P66" i="15"/>
  <c r="Q66" i="15" s="1"/>
  <c r="D66" i="15"/>
  <c r="F66" i="15" s="1"/>
  <c r="AA62" i="15"/>
  <c r="D62" i="15"/>
  <c r="AA61" i="15"/>
  <c r="D61" i="15"/>
  <c r="AA60" i="15"/>
  <c r="D60" i="15"/>
  <c r="AA59" i="15"/>
  <c r="D59" i="15"/>
  <c r="AA58" i="15"/>
  <c r="D58" i="15"/>
  <c r="AA57" i="15"/>
  <c r="D57" i="15"/>
  <c r="E53" i="15" s="1"/>
  <c r="AL56" i="15"/>
  <c r="AA56" i="15"/>
  <c r="P56" i="15"/>
  <c r="D56" i="15"/>
  <c r="AL55" i="15"/>
  <c r="AA55" i="15"/>
  <c r="P55" i="15"/>
  <c r="D55" i="15"/>
  <c r="AL54" i="15"/>
  <c r="AA54" i="15"/>
  <c r="P54" i="15"/>
  <c r="D54" i="15"/>
  <c r="AL53" i="15"/>
  <c r="AM53" i="15" s="1"/>
  <c r="AA53" i="15"/>
  <c r="AC53" i="15" s="1"/>
  <c r="Q53" i="15"/>
  <c r="S53" i="15" s="1"/>
  <c r="P53" i="15"/>
  <c r="R53" i="15" s="1"/>
  <c r="D53" i="15"/>
  <c r="F53" i="15" s="1"/>
  <c r="AA49" i="15"/>
  <c r="D49" i="15"/>
  <c r="AA48" i="15"/>
  <c r="D48" i="15"/>
  <c r="AA47" i="15"/>
  <c r="D47" i="15"/>
  <c r="AA46" i="15"/>
  <c r="D46" i="15"/>
  <c r="AA45" i="15"/>
  <c r="D45" i="15"/>
  <c r="AA44" i="15"/>
  <c r="AC40" i="15" s="1"/>
  <c r="D44" i="15"/>
  <c r="AL43" i="15"/>
  <c r="AA43" i="15"/>
  <c r="P43" i="15"/>
  <c r="D43" i="15"/>
  <c r="AL42" i="15"/>
  <c r="AA42" i="15"/>
  <c r="P42" i="15"/>
  <c r="R40" i="15" s="1"/>
  <c r="D42" i="15"/>
  <c r="E40" i="15" s="1"/>
  <c r="G40" i="15" s="1"/>
  <c r="AL41" i="15"/>
  <c r="AA41" i="15"/>
  <c r="P41" i="15"/>
  <c r="D41" i="15"/>
  <c r="AL40" i="15"/>
  <c r="AN40" i="15" s="1"/>
  <c r="AA40" i="15"/>
  <c r="P40" i="15"/>
  <c r="Q40" i="15" s="1"/>
  <c r="D40" i="15"/>
  <c r="F40" i="15" s="1"/>
  <c r="AA114" i="17"/>
  <c r="D114" i="17"/>
  <c r="AA113" i="17"/>
  <c r="D113" i="17"/>
  <c r="AA112" i="17"/>
  <c r="D112" i="17"/>
  <c r="AA111" i="17"/>
  <c r="D111" i="17"/>
  <c r="AL110" i="17"/>
  <c r="AA110" i="17"/>
  <c r="P110" i="17"/>
  <c r="D110" i="17"/>
  <c r="AL109" i="17"/>
  <c r="AA109" i="17"/>
  <c r="P109" i="17"/>
  <c r="D109" i="17"/>
  <c r="E106" i="17" s="1"/>
  <c r="G106" i="17" s="1"/>
  <c r="AL108" i="17"/>
  <c r="AA108" i="17"/>
  <c r="P108" i="17"/>
  <c r="D108" i="17"/>
  <c r="AL107" i="17"/>
  <c r="AN106" i="17" s="1"/>
  <c r="AA107" i="17"/>
  <c r="P107" i="17"/>
  <c r="Q106" i="17" s="1"/>
  <c r="S106" i="17" s="1"/>
  <c r="D107" i="17"/>
  <c r="AL106" i="17"/>
  <c r="AM106" i="17" s="1"/>
  <c r="AO106" i="17" s="1"/>
  <c r="AA106" i="17"/>
  <c r="AC106" i="17" s="1"/>
  <c r="R106" i="17"/>
  <c r="P106" i="17"/>
  <c r="D106" i="17"/>
  <c r="F106" i="17" s="1"/>
  <c r="AA102" i="17"/>
  <c r="D102" i="17"/>
  <c r="AA101" i="17"/>
  <c r="D101" i="17"/>
  <c r="AA100" i="17"/>
  <c r="D100" i="17"/>
  <c r="AA99" i="17"/>
  <c r="D99" i="17"/>
  <c r="AA98" i="17"/>
  <c r="AB93" i="17" s="1"/>
  <c r="D98" i="17"/>
  <c r="AA97" i="17"/>
  <c r="D97" i="17"/>
  <c r="AL96" i="17"/>
  <c r="AA96" i="17"/>
  <c r="P96" i="17"/>
  <c r="D96" i="17"/>
  <c r="AL95" i="17"/>
  <c r="AA95" i="17"/>
  <c r="P95" i="17"/>
  <c r="D95" i="17"/>
  <c r="AL94" i="17"/>
  <c r="AM93" i="17" s="1"/>
  <c r="AO93" i="17" s="1"/>
  <c r="AA94" i="17"/>
  <c r="P94" i="17"/>
  <c r="R93" i="17" s="1"/>
  <c r="D94" i="17"/>
  <c r="AN93" i="17"/>
  <c r="AL93" i="17"/>
  <c r="AA93" i="17"/>
  <c r="AC93" i="17" s="1"/>
  <c r="P93" i="17"/>
  <c r="Q93" i="17" s="1"/>
  <c r="S93" i="17" s="1"/>
  <c r="D93" i="17"/>
  <c r="F93" i="17" s="1"/>
  <c r="AA89" i="17"/>
  <c r="AB80" i="17" s="1"/>
  <c r="D89" i="17"/>
  <c r="AA88" i="17"/>
  <c r="D88" i="17"/>
  <c r="AA87" i="17"/>
  <c r="D87" i="17"/>
  <c r="AA86" i="17"/>
  <c r="D86" i="17"/>
  <c r="AA85" i="17"/>
  <c r="D85" i="17"/>
  <c r="AA84" i="17"/>
  <c r="D84" i="17"/>
  <c r="AL83" i="17"/>
  <c r="AA83" i="17"/>
  <c r="P83" i="17"/>
  <c r="D83" i="17"/>
  <c r="F80" i="17" s="1"/>
  <c r="AL82" i="17"/>
  <c r="AA82" i="17"/>
  <c r="P82" i="17"/>
  <c r="D82" i="17"/>
  <c r="AL81" i="17"/>
  <c r="AA81" i="17"/>
  <c r="P81" i="17"/>
  <c r="D81" i="17"/>
  <c r="AL80" i="17"/>
  <c r="AN80" i="17" s="1"/>
  <c r="AA80" i="17"/>
  <c r="P80" i="17"/>
  <c r="R80" i="17" s="1"/>
  <c r="D80" i="17"/>
  <c r="E80" i="17" s="1"/>
  <c r="AA74" i="17"/>
  <c r="D74" i="17"/>
  <c r="AA73" i="17"/>
  <c r="D73" i="17"/>
  <c r="AA72" i="17"/>
  <c r="D72" i="17"/>
  <c r="AA71" i="17"/>
  <c r="D71" i="17"/>
  <c r="AL70" i="17"/>
  <c r="AA70" i="17"/>
  <c r="P70" i="17"/>
  <c r="D70" i="17"/>
  <c r="AL69" i="17"/>
  <c r="AA69" i="17"/>
  <c r="P69" i="17"/>
  <c r="D69" i="17"/>
  <c r="AL68" i="17"/>
  <c r="AA68" i="17"/>
  <c r="P68" i="17"/>
  <c r="D68" i="17"/>
  <c r="F66" i="17" s="1"/>
  <c r="AL67" i="17"/>
  <c r="AM66" i="17" s="1"/>
  <c r="AA67" i="17"/>
  <c r="AC66" i="17" s="1"/>
  <c r="P67" i="17"/>
  <c r="D67" i="17"/>
  <c r="AL66" i="17"/>
  <c r="AN66" i="17" s="1"/>
  <c r="AA66" i="17"/>
  <c r="AB66" i="17" s="1"/>
  <c r="AD66" i="17" s="1"/>
  <c r="P66" i="17"/>
  <c r="R66" i="17" s="1"/>
  <c r="D66" i="17"/>
  <c r="AA62" i="17"/>
  <c r="D62" i="17"/>
  <c r="AA61" i="17"/>
  <c r="D61" i="17"/>
  <c r="AA60" i="17"/>
  <c r="D60" i="17"/>
  <c r="AA59" i="17"/>
  <c r="D59" i="17"/>
  <c r="AA58" i="17"/>
  <c r="D58" i="17"/>
  <c r="AA57" i="17"/>
  <c r="D57" i="17"/>
  <c r="F53" i="17" s="1"/>
  <c r="AL56" i="17"/>
  <c r="AA56" i="17"/>
  <c r="P56" i="17"/>
  <c r="D56" i="17"/>
  <c r="AL55" i="17"/>
  <c r="AA55" i="17"/>
  <c r="P55" i="17"/>
  <c r="D55" i="17"/>
  <c r="AL54" i="17"/>
  <c r="AA54" i="17"/>
  <c r="AB53" i="17" s="1"/>
  <c r="AD53" i="17" s="1"/>
  <c r="P54" i="17"/>
  <c r="D54" i="17"/>
  <c r="AL53" i="17"/>
  <c r="AN53" i="17" s="1"/>
  <c r="AC53" i="17"/>
  <c r="AA53" i="17"/>
  <c r="Q53" i="17"/>
  <c r="S53" i="17" s="1"/>
  <c r="P53" i="17"/>
  <c r="R53" i="17" s="1"/>
  <c r="D53" i="17"/>
  <c r="E53" i="17" s="1"/>
  <c r="G53" i="17" s="1"/>
  <c r="AA49" i="17"/>
  <c r="D49" i="17"/>
  <c r="AA48" i="17"/>
  <c r="D48" i="17"/>
  <c r="AA47" i="17"/>
  <c r="D47" i="17"/>
  <c r="AA46" i="17"/>
  <c r="D46" i="17"/>
  <c r="AA45" i="17"/>
  <c r="D45" i="17"/>
  <c r="AA44" i="17"/>
  <c r="D44" i="17"/>
  <c r="AL43" i="17"/>
  <c r="AA43" i="17"/>
  <c r="P43" i="17"/>
  <c r="D43" i="17"/>
  <c r="AL42" i="17"/>
  <c r="AA42" i="17"/>
  <c r="P42" i="17"/>
  <c r="D42" i="17"/>
  <c r="E40" i="17" s="1"/>
  <c r="AL41" i="17"/>
  <c r="AN40" i="17" s="1"/>
  <c r="AA41" i="17"/>
  <c r="AB40" i="17" s="1"/>
  <c r="P41" i="17"/>
  <c r="D41" i="17"/>
  <c r="AL40" i="17"/>
  <c r="AM40" i="17" s="1"/>
  <c r="AO40" i="17" s="1"/>
  <c r="AA40" i="17"/>
  <c r="AC40" i="17" s="1"/>
  <c r="R40" i="17"/>
  <c r="Q40" i="17"/>
  <c r="S40" i="17" s="1"/>
  <c r="P40" i="17"/>
  <c r="D40" i="17"/>
  <c r="F40" i="17" s="1"/>
  <c r="AL109" i="12"/>
  <c r="AL108" i="12"/>
  <c r="AL83" i="12"/>
  <c r="AL82" i="12"/>
  <c r="AL69" i="12"/>
  <c r="AL68" i="12"/>
  <c r="AL56" i="12"/>
  <c r="AL55" i="12"/>
  <c r="AL43" i="12"/>
  <c r="AL42" i="12"/>
  <c r="P56" i="12"/>
  <c r="P55" i="12"/>
  <c r="AA112" i="12"/>
  <c r="AA111" i="12"/>
  <c r="AA109" i="12"/>
  <c r="AA108" i="12"/>
  <c r="AA100" i="12"/>
  <c r="AA99" i="12"/>
  <c r="AA98" i="12"/>
  <c r="AA97" i="12"/>
  <c r="AA96" i="12"/>
  <c r="AA95" i="12"/>
  <c r="AA87" i="12"/>
  <c r="AA86" i="12"/>
  <c r="AA85" i="12"/>
  <c r="AA84" i="12"/>
  <c r="AA83" i="12"/>
  <c r="AA82" i="12"/>
  <c r="P82" i="12"/>
  <c r="AA73" i="12"/>
  <c r="D73" i="12"/>
  <c r="AA72" i="12"/>
  <c r="D72" i="12"/>
  <c r="AA71" i="12"/>
  <c r="D71" i="12"/>
  <c r="AA70" i="12"/>
  <c r="D70" i="12"/>
  <c r="AA69" i="12"/>
  <c r="D69" i="12"/>
  <c r="AA68" i="12"/>
  <c r="D68" i="12"/>
  <c r="AA60" i="12"/>
  <c r="D60" i="12"/>
  <c r="AA59" i="12"/>
  <c r="D59" i="12"/>
  <c r="AA58" i="12"/>
  <c r="D58" i="12"/>
  <c r="AA57" i="12"/>
  <c r="D57" i="12"/>
  <c r="AA56" i="12"/>
  <c r="D56" i="12"/>
  <c r="AA55" i="12"/>
  <c r="D55" i="12"/>
  <c r="AA47" i="12"/>
  <c r="D47" i="12"/>
  <c r="AA46" i="12"/>
  <c r="D46" i="12"/>
  <c r="AA45" i="12"/>
  <c r="D45" i="12"/>
  <c r="AA44" i="12"/>
  <c r="D44" i="12"/>
  <c r="AA43" i="12"/>
  <c r="D43" i="12"/>
  <c r="AA42" i="12"/>
  <c r="D42" i="12"/>
  <c r="Q82" i="12" l="1"/>
  <c r="AM55" i="12"/>
  <c r="AM95" i="12"/>
  <c r="AN95" i="12"/>
  <c r="AN82" i="12"/>
  <c r="AM82" i="12"/>
  <c r="AM42" i="12"/>
  <c r="Q55" i="12"/>
  <c r="Q42" i="12"/>
  <c r="R82" i="12"/>
  <c r="AN55" i="12"/>
  <c r="R55" i="12"/>
  <c r="AN42" i="12"/>
  <c r="R42" i="12"/>
  <c r="AN108" i="12"/>
  <c r="AB95" i="12"/>
  <c r="AC82" i="12"/>
  <c r="AB68" i="12"/>
  <c r="R68" i="12"/>
  <c r="Q68" i="12"/>
  <c r="F55" i="12"/>
  <c r="E42" i="12"/>
  <c r="AM108" i="12"/>
  <c r="AB82" i="12"/>
  <c r="AC108" i="12"/>
  <c r="AM68" i="12"/>
  <c r="AC55" i="12"/>
  <c r="AC42" i="12"/>
  <c r="F68" i="12"/>
  <c r="AN68" i="12"/>
  <c r="AB108" i="12"/>
  <c r="AC95" i="12"/>
  <c r="AC68" i="12"/>
  <c r="AB55" i="12"/>
  <c r="AB42" i="12"/>
  <c r="F108" i="12"/>
  <c r="E108" i="12"/>
  <c r="E68" i="12"/>
  <c r="E55" i="12"/>
  <c r="F42" i="12"/>
  <c r="AO53" i="16"/>
  <c r="AB53" i="16"/>
  <c r="AD53" i="16" s="1"/>
  <c r="E66" i="16"/>
  <c r="G66" i="16" s="1"/>
  <c r="J40" i="16" s="1"/>
  <c r="AM93" i="16"/>
  <c r="AO93" i="16" s="1"/>
  <c r="Q106" i="16"/>
  <c r="S106" i="16" s="1"/>
  <c r="V80" i="16" s="1"/>
  <c r="Q40" i="16"/>
  <c r="S40" i="16" s="1"/>
  <c r="V40" i="16" s="1"/>
  <c r="AB80" i="16"/>
  <c r="AD80" i="16" s="1"/>
  <c r="AG80" i="16" s="1"/>
  <c r="AM80" i="16"/>
  <c r="AO80" i="16" s="1"/>
  <c r="E53" i="16"/>
  <c r="G53" i="16" s="1"/>
  <c r="AB66" i="16"/>
  <c r="AD66" i="16" s="1"/>
  <c r="E80" i="16"/>
  <c r="G80" i="16" s="1"/>
  <c r="J80" i="16" s="1"/>
  <c r="Q93" i="16"/>
  <c r="S93" i="16" s="1"/>
  <c r="AM106" i="16"/>
  <c r="AO106" i="16" s="1"/>
  <c r="AM40" i="16"/>
  <c r="AO40" i="16" s="1"/>
  <c r="AB40" i="16"/>
  <c r="AD40" i="16" s="1"/>
  <c r="G53" i="15"/>
  <c r="AO66" i="15"/>
  <c r="AD66" i="15"/>
  <c r="S40" i="15"/>
  <c r="AD106" i="15"/>
  <c r="AG80" i="15" s="1"/>
  <c r="AD93" i="15"/>
  <c r="AN53" i="15"/>
  <c r="AO53" i="15" s="1"/>
  <c r="R66" i="15"/>
  <c r="S66" i="15" s="1"/>
  <c r="F93" i="15"/>
  <c r="G93" i="15" s="1"/>
  <c r="J80" i="15" s="1"/>
  <c r="AC106" i="15"/>
  <c r="AB40" i="15"/>
  <c r="AD40" i="15" s="1"/>
  <c r="AM80" i="15"/>
  <c r="AO80" i="15" s="1"/>
  <c r="AM40" i="15"/>
  <c r="AO40" i="15" s="1"/>
  <c r="Q80" i="15"/>
  <c r="S80" i="15" s="1"/>
  <c r="V80" i="15" s="1"/>
  <c r="AB53" i="15"/>
  <c r="AD53" i="15" s="1"/>
  <c r="E66" i="15"/>
  <c r="G66" i="15" s="1"/>
  <c r="J40" i="15" s="1"/>
  <c r="AM93" i="15"/>
  <c r="AO93" i="15" s="1"/>
  <c r="Q106" i="15"/>
  <c r="S106" i="15" s="1"/>
  <c r="V40" i="17"/>
  <c r="AO66" i="17"/>
  <c r="AD80" i="17"/>
  <c r="AG80" i="17" s="1"/>
  <c r="AD40" i="17"/>
  <c r="AG40" i="17" s="1"/>
  <c r="G80" i="17"/>
  <c r="AD93" i="17"/>
  <c r="G40" i="17"/>
  <c r="AM53" i="17"/>
  <c r="AO53" i="17" s="1"/>
  <c r="AR40" i="17" s="1"/>
  <c r="Q66" i="17"/>
  <c r="S66" i="17" s="1"/>
  <c r="E93" i="17"/>
  <c r="G93" i="17" s="1"/>
  <c r="AB106" i="17"/>
  <c r="AD106" i="17" s="1"/>
  <c r="AM80" i="17"/>
  <c r="AO80" i="17" s="1"/>
  <c r="AR80" i="17" s="1"/>
  <c r="AC80" i="17"/>
  <c r="Q80" i="17"/>
  <c r="S80" i="17" s="1"/>
  <c r="V80" i="17" s="1"/>
  <c r="E66" i="17"/>
  <c r="G66" i="17" s="1"/>
  <c r="P95" i="12"/>
  <c r="P96" i="12"/>
  <c r="D83" i="12"/>
  <c r="D84" i="12"/>
  <c r="P108" i="12"/>
  <c r="D85" i="12"/>
  <c r="D95" i="12"/>
  <c r="R95" i="12" l="1"/>
  <c r="Q95" i="12"/>
  <c r="F82" i="12"/>
  <c r="E82" i="12"/>
  <c r="R108" i="12"/>
  <c r="Q108" i="12"/>
  <c r="F95" i="12"/>
  <c r="E95" i="12"/>
  <c r="AO82" i="12"/>
  <c r="AD68" i="12"/>
  <c r="S42" i="12"/>
  <c r="S55" i="12"/>
  <c r="S68" i="12"/>
  <c r="AO42" i="12"/>
  <c r="AO68" i="12"/>
  <c r="AO55" i="12"/>
  <c r="AO108" i="12"/>
  <c r="AO95" i="12"/>
  <c r="AD42" i="12"/>
  <c r="AR40" i="16"/>
  <c r="AG40" i="16"/>
  <c r="AR80" i="16"/>
  <c r="V40" i="15"/>
  <c r="AR40" i="15"/>
  <c r="AR80" i="15"/>
  <c r="AG40" i="15"/>
  <c r="J40" i="17"/>
  <c r="J80" i="17"/>
  <c r="AD108" i="12"/>
  <c r="AD55" i="12"/>
  <c r="AD95" i="12"/>
  <c r="S82" i="12"/>
  <c r="G55" i="12"/>
  <c r="AD82" i="12"/>
  <c r="G68" i="12"/>
  <c r="G42" i="12"/>
  <c r="G108" i="12"/>
  <c r="AR82" i="12" l="1"/>
  <c r="V42" i="12"/>
  <c r="AR42" i="12"/>
  <c r="AG42" i="12"/>
  <c r="G95" i="12"/>
  <c r="AG82" i="12"/>
  <c r="G82" i="12"/>
  <c r="S108" i="12"/>
  <c r="S95" i="12"/>
  <c r="J42" i="12"/>
  <c r="J82" i="12" l="1"/>
  <c r="V82" i="12"/>
</calcChain>
</file>

<file path=xl/sharedStrings.xml><?xml version="1.0" encoding="utf-8"?>
<sst xmlns="http://schemas.openxmlformats.org/spreadsheetml/2006/main" count="1185" uniqueCount="117">
  <si>
    <t>Averaged over 5 Reps</t>
  </si>
  <si>
    <t>Approach</t>
  </si>
  <si>
    <t>Approach Variable</t>
  </si>
  <si>
    <t>MAE</t>
  </si>
  <si>
    <t>False positive</t>
  </si>
  <si>
    <t>False Negative</t>
  </si>
  <si>
    <t>True Postive</t>
  </si>
  <si>
    <t>True Negative</t>
  </si>
  <si>
    <t>F1</t>
  </si>
  <si>
    <t>HSS</t>
  </si>
  <si>
    <t>TSS</t>
  </si>
  <si>
    <t>NN</t>
  </si>
  <si>
    <t>rRT</t>
  </si>
  <si>
    <t>Max</t>
  </si>
  <si>
    <t>Index Max</t>
  </si>
  <si>
    <t>Adjusted index max</t>
  </si>
  <si>
    <t>Max approach</t>
  </si>
  <si>
    <t>Max approach variable</t>
  </si>
  <si>
    <t>Pearson</t>
  </si>
  <si>
    <t>The Pearson correlation measures the strength of the linear relationship between two variables. It has a value between -1 to 1, with a value of -1 meaning a total negative linear correlation, 0 being no correlation, and + 1 meaning a total positive correlation.</t>
  </si>
  <si>
    <t>It is the difference between the measured value and “true” value. For example, if a scale states 90 pounds but you know your true weight is 89 pounds, then the scale has an absolute error of 90 lbs – 89 lbs = 1 lbs.</t>
  </si>
  <si>
    <t>FP</t>
  </si>
  <si>
    <t>Predicted Yes/Positive but Actual No/Negative</t>
  </si>
  <si>
    <t>FN</t>
  </si>
  <si>
    <t>Predicted No/Negative but Actual Yes/Positive</t>
  </si>
  <si>
    <t>TP</t>
  </si>
  <si>
    <t>Predicted Yes/Positive and Actual Yes/Positive</t>
  </si>
  <si>
    <t>TN</t>
  </si>
  <si>
    <t>Predicted No/Negative and Actual No/Negative</t>
  </si>
  <si>
    <t>F1 score, computed as the equally-weighted harmonic mean of precision and recall: F1 = 2* (precision * recall) / (precision + recall)</t>
  </si>
  <si>
    <t>Heidke Skill Score (HSS) is commonly used to determine a classifer's ability to perform better than random. (0,1] means better than random. (-infinity, 0] worse than random. HSS = 2 * (TP * TN - FP*FN) / ((TP + FP) * (FP + TN) + (TP+FN)*(FN + TN))</t>
  </si>
  <si>
    <t>True Skill Score (TSS), difference between the true and false positive rate: TSS = TPR - FPR</t>
  </si>
  <si>
    <t>precision</t>
  </si>
  <si>
    <t>Likelihood that an event is actually positive given a positive prediction: precision = TP / (TP + FP)</t>
  </si>
  <si>
    <t>recall</t>
  </si>
  <si>
    <t>True Positive Rate (TPR). Given an event is actually positive, it describes the probability that it will also be predicted positive: recall  = TPR = TP / (TP + FN)</t>
  </si>
  <si>
    <t>FPR</t>
  </si>
  <si>
    <t>Likelihood that a negative sample will be predicted as positive: FPR = FP / (FP + TN)</t>
  </si>
  <si>
    <t>target</t>
  </si>
  <si>
    <t>100MeV_peak_intensity_ln</t>
  </si>
  <si>
    <t>False Positive</t>
  </si>
  <si>
    <t>Elevated</t>
  </si>
  <si>
    <t>Background</t>
  </si>
  <si>
    <t>Very close to False Negative</t>
  </si>
  <si>
    <t>C=violet</t>
  </si>
  <si>
    <t>C=orange</t>
  </si>
  <si>
    <t>C=cyan</t>
  </si>
  <si>
    <t>C=brown</t>
  </si>
  <si>
    <t>rRT+AE</t>
  </si>
  <si>
    <t>LN</t>
  </si>
  <si>
    <t>100MeV_peak_intensity</t>
  </si>
  <si>
    <t>TEST DATA</t>
  </si>
  <si>
    <t>output_on_syn</t>
  </si>
  <si>
    <t>abs_diff</t>
  </si>
  <si>
    <t>sum_abs_diff</t>
  </si>
  <si>
    <t>n</t>
  </si>
  <si>
    <t>sum_abs_diff_div_n</t>
  </si>
  <si>
    <t>output_on_syn_exp</t>
  </si>
  <si>
    <t>LEARN RICHARDSON ON SYN LN 3Fold/4Fold Dataset 0 MAE SHOW WORK</t>
  </si>
  <si>
    <t>LEARN RICHARDSON ON SYN LN 3Fold/4Fold Dataset 1 MAE SHOW WORK</t>
  </si>
  <si>
    <t>LEARN RICHARDSON ON SYN LN 3Fold/4Fold Dataset 2 MAE SHOW WORK</t>
  </si>
  <si>
    <t>AVERAGE</t>
  </si>
  <si>
    <t>SEP ONLY</t>
  </si>
  <si>
    <t>Intensity</t>
  </si>
  <si>
    <t>DATASET 0</t>
  </si>
  <si>
    <t>DATASET 1</t>
  </si>
  <si>
    <t>DATASET 2</t>
  </si>
  <si>
    <t>dummy</t>
  </si>
  <si>
    <t>index</t>
  </si>
  <si>
    <t>donki_date</t>
  </si>
  <si>
    <t>cdaw_date</t>
  </si>
  <si>
    <t>donki_speed</t>
  </si>
  <si>
    <t>donki_ha</t>
  </si>
  <si>
    <t>longitude</t>
  </si>
  <si>
    <t>latitude</t>
  </si>
  <si>
    <t>Accel</t>
  </si>
  <si>
    <t>Type_2_Area</t>
  </si>
  <si>
    <t>2nd_order_speed_final</t>
  </si>
  <si>
    <t>2nd_order_speed_20R</t>
  </si>
  <si>
    <t>Central_PA</t>
  </si>
  <si>
    <t>MPA</t>
  </si>
  <si>
    <t>sunspots</t>
  </si>
  <si>
    <t>CMEs_past_month</t>
  </si>
  <si>
    <t>CMEs_past_9_hours</t>
  </si>
  <si>
    <t>CMEs_over_1000_past_9_hrs</t>
  </si>
  <si>
    <t>Max_speed_past_day</t>
  </si>
  <si>
    <t>richardson_formula_degrees_phi_2_solar_wind</t>
  </si>
  <si>
    <t>V log V</t>
  </si>
  <si>
    <t>halo</t>
  </si>
  <si>
    <t>diffusive_shock</t>
  </si>
  <si>
    <t>Double_CME_100_MeV</t>
  </si>
  <si>
    <t>predicted_100MeV_peak_intensity_ln</t>
  </si>
  <si>
    <t>connection_angle_degrees</t>
  </si>
  <si>
    <t>connection_angle_degrees_phi_2_solar_wind_sq_div</t>
  </si>
  <si>
    <t>expected_richardson</t>
  </si>
  <si>
    <t>expected_richardson_ln</t>
  </si>
  <si>
    <t>threshold_time</t>
  </si>
  <si>
    <t>peak_time</t>
  </si>
  <si>
    <t>solar_wind_speed</t>
  </si>
  <si>
    <t>of_interest</t>
  </si>
  <si>
    <t>dense NN</t>
  </si>
  <si>
    <t>dense rRT</t>
  </si>
  <si>
    <t>dense rRT+AE</t>
  </si>
  <si>
    <t>w_v</t>
  </si>
  <si>
    <t>w_exp</t>
  </si>
  <si>
    <t>spot_check_predicted_ln</t>
  </si>
  <si>
    <t>richardson_w_v</t>
  </si>
  <si>
    <t>richardson_w_exp</t>
  </si>
  <si>
    <t>spot_check_expected_ricahrdson_ln</t>
  </si>
  <si>
    <t>spot_check_expected_ricahrdson</t>
  </si>
  <si>
    <t>Pearson Coorelation SEP</t>
  </si>
  <si>
    <t>Pearson Coorelation SEP+Elevated</t>
  </si>
  <si>
    <t>MAE SEP</t>
  </si>
  <si>
    <t>MAE All</t>
  </si>
  <si>
    <t>alt dense NN</t>
  </si>
  <si>
    <t>alt dense rRT</t>
  </si>
  <si>
    <t>alt dense rRT+AE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</si>
</sst>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64" fontId="0" fillId="0" borderId="0" xfId="0" applyNumberFormat="1"/>
    <xf numFmtId="164" fontId="0" fillId="33" borderId="0" xfId="0" applyNumberFormat="1" applyFill="1"/>
    <xf numFmtId="164" fontId="0" fillId="35" borderId="0" xfId="0" applyNumberFormat="1" applyFill="1"/>
    <xf numFmtId="164" fontId="0" fillId="34" borderId="0" xfId="0" applyNumberFormat="1" applyFill="1"/>
    <xf numFmtId="165" fontId="0" fillId="0" borderId="0" xfId="0" applyNumberFormat="1"/>
    <xf numFmtId="165" fontId="0" fillId="33" borderId="0" xfId="0" applyNumberFormat="1" applyFill="1"/>
    <xf numFmtId="165" fontId="0" fillId="35" borderId="0" xfId="0" applyNumberFormat="1" applyFill="1"/>
    <xf numFmtId="165" fontId="0" fillId="34" borderId="0" xfId="0" applyNumberFormat="1" applyFill="1"/>
    <xf numFmtId="164" fontId="0" fillId="36" borderId="0" xfId="0" applyNumberFormat="1" applyFill="1"/>
    <xf numFmtId="165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100MeV_peak_intensity_ln vs DONKI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richardson_3fold_4fold_all!$AL$2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richardson_3fold_4fold_all!$AK$3:$AK$31</c:f>
              <c:numCache>
                <c:formatCode>General</c:formatCode>
                <c:ptCount val="29"/>
              </c:numCache>
            </c:numRef>
          </c:xVal>
          <c:yVal>
            <c:numRef>
              <c:f>richardson_3fold_4fold_all!$AL$3:$AL$31</c:f>
              <c:numCache>
                <c:formatCode>General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6-41A1-A441-1389931AF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430640"/>
        <c:axId val="1196431120"/>
      </c:scatterChart>
      <c:valAx>
        <c:axId val="119643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431120"/>
        <c:crosses val="autoZero"/>
        <c:crossBetween val="midCat"/>
      </c:valAx>
      <c:valAx>
        <c:axId val="119643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43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100MeV_peak_intensity_ln vs conn^2 / (2 * sigma^2) sigma</a:t>
            </a:r>
            <a:r>
              <a:rPr lang="en-US" baseline="0"/>
              <a:t> = 102.669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richardson_3fold_4fold_all!$AT$2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richardson_3fold_4fold_all!$AS$3:$AS$31</c:f>
              <c:numCache>
                <c:formatCode>General</c:formatCode>
                <c:ptCount val="29"/>
              </c:numCache>
            </c:numRef>
          </c:xVal>
          <c:yVal>
            <c:numRef>
              <c:f>richardson_3fold_4fold_all!$AT$3:$AT$31</c:f>
              <c:numCache>
                <c:formatCode>General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E1-4897-A125-A0C7D903A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122784"/>
        <c:axId val="879825072"/>
      </c:scatterChart>
      <c:valAx>
        <c:axId val="72212278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825072"/>
        <c:crosses val="autoZero"/>
        <c:crossBetween val="midCat"/>
      </c:valAx>
      <c:valAx>
        <c:axId val="8798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2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100MeV_peak_intensity_ln vs conn^2</a:t>
            </a:r>
            <a:r>
              <a:rPr lang="en-US" baseline="0"/>
              <a:t> / (2 * sigma^2) sigma = 43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richardson_3fold_4fold_all!$BA$2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richardson_3fold_4fold_all!$AZ$3:$AZ$31</c:f>
              <c:numCache>
                <c:formatCode>General</c:formatCode>
                <c:ptCount val="29"/>
              </c:numCache>
            </c:numRef>
          </c:xVal>
          <c:yVal>
            <c:numRef>
              <c:f>richardson_3fold_4fold_all!$BA$3:$BA$31</c:f>
              <c:numCache>
                <c:formatCode>General</c:formatCode>
                <c:ptCount val="2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1-48A8-B0A5-E559A709D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266208"/>
        <c:axId val="1510277728"/>
      </c:scatterChart>
      <c:valAx>
        <c:axId val="151026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77728"/>
        <c:crosses val="autoZero"/>
        <c:crossBetween val="midCat"/>
      </c:valAx>
      <c:valAx>
        <c:axId val="151027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6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202405</xdr:colOff>
      <xdr:row>2</xdr:row>
      <xdr:rowOff>18455</xdr:rowOff>
    </xdr:from>
    <xdr:to>
      <xdr:col>36</xdr:col>
      <xdr:colOff>523874</xdr:colOff>
      <xdr:row>16</xdr:row>
      <xdr:rowOff>94655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C9A41C-1E92-14B3-548B-40AD1B449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125017</xdr:colOff>
      <xdr:row>3</xdr:row>
      <xdr:rowOff>54173</xdr:rowOff>
    </xdr:from>
    <xdr:to>
      <xdr:col>44</xdr:col>
      <xdr:colOff>1053704</xdr:colOff>
      <xdr:row>16</xdr:row>
      <xdr:rowOff>166091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EFEC84-2A27-219D-1F7C-7AC03BCB0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65485</xdr:colOff>
      <xdr:row>3</xdr:row>
      <xdr:rowOff>95845</xdr:rowOff>
    </xdr:from>
    <xdr:to>
      <xdr:col>54</xdr:col>
      <xdr:colOff>386953</xdr:colOff>
      <xdr:row>17</xdr:row>
      <xdr:rowOff>5357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FBA6A-3825-D23B-D201-7316B514E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tabSelected="1" topLeftCell="A16" zoomScale="160" zoomScaleNormal="160" workbookViewId="0">
      <selection activeCell="S28" sqref="S28"/>
    </sheetView>
  </sheetViews>
  <sheetFormatPr defaultRowHeight="15" x14ac:dyDescent="0.25"/>
  <cols>
    <col min="1" max="1" width="13.140625" bestFit="1" customWidth="1"/>
    <col min="3" max="3" width="9.28515625" bestFit="1" customWidth="1"/>
    <col min="4" max="4" width="9.28515625" customWidth="1"/>
    <col min="5" max="5" width="9.28515625" bestFit="1" customWidth="1"/>
    <col min="6" max="6" width="9.28515625" customWidth="1"/>
    <col min="7" max="9" width="9.28515625" bestFit="1" customWidth="1"/>
    <col min="10" max="10" width="10" bestFit="1" customWidth="1"/>
    <col min="11" max="13" width="9.28515625" bestFit="1" customWidth="1"/>
  </cols>
  <sheetData>
    <row r="1" spans="1:13" x14ac:dyDescent="0.25">
      <c r="C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 x14ac:dyDescent="0.25">
      <c r="A2" t="s">
        <v>1</v>
      </c>
      <c r="B2" t="s">
        <v>2</v>
      </c>
      <c r="C2" t="s">
        <v>110</v>
      </c>
      <c r="D2" t="s">
        <v>111</v>
      </c>
      <c r="E2" t="s">
        <v>112</v>
      </c>
      <c r="F2" t="s">
        <v>113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1:13" x14ac:dyDescent="0.25">
      <c r="A3" t="s">
        <v>11</v>
      </c>
      <c r="B3">
        <v>0</v>
      </c>
      <c r="C3" s="6">
        <v>-4.1871999999999999E-2</v>
      </c>
      <c r="D3" s="6">
        <v>0.69258799999999998</v>
      </c>
      <c r="E3" s="6">
        <v>2.7525369999999998</v>
      </c>
      <c r="F3" s="14">
        <v>6.8343000000000001E-2</v>
      </c>
      <c r="G3" s="10">
        <v>0.4</v>
      </c>
      <c r="H3" s="10">
        <v>5</v>
      </c>
      <c r="I3" s="10">
        <v>0</v>
      </c>
      <c r="J3" s="10">
        <v>680.6</v>
      </c>
      <c r="K3" s="6">
        <v>0</v>
      </c>
      <c r="L3" s="6">
        <v>-9.7400000000000004E-4</v>
      </c>
      <c r="M3" s="6">
        <v>0</v>
      </c>
    </row>
    <row r="4" spans="1:13" x14ac:dyDescent="0.25">
      <c r="A4" s="3" t="s">
        <v>11</v>
      </c>
      <c r="B4" s="3">
        <v>10</v>
      </c>
      <c r="C4" s="14">
        <v>0.17543</v>
      </c>
      <c r="D4" s="7">
        <v>0.389936</v>
      </c>
      <c r="E4" s="7">
        <v>3.0741290000000001</v>
      </c>
      <c r="F4" s="7">
        <v>0.17000100000000001</v>
      </c>
      <c r="G4" s="15">
        <v>0</v>
      </c>
      <c r="H4" s="11">
        <v>5</v>
      </c>
      <c r="I4" s="11">
        <v>0</v>
      </c>
      <c r="J4" s="15">
        <v>681</v>
      </c>
      <c r="K4" s="7">
        <v>0</v>
      </c>
      <c r="L4" s="7">
        <v>0</v>
      </c>
      <c r="M4" s="7">
        <v>0</v>
      </c>
    </row>
    <row r="5" spans="1:13" x14ac:dyDescent="0.25">
      <c r="A5" s="3" t="s">
        <v>11</v>
      </c>
      <c r="B5" s="3">
        <v>20</v>
      </c>
      <c r="C5" s="7">
        <v>0.15310799999999999</v>
      </c>
      <c r="D5" s="7">
        <v>0.33446399999999998</v>
      </c>
      <c r="E5" s="7">
        <v>2.7111369999999999</v>
      </c>
      <c r="F5" s="7">
        <v>0.22076299999999999</v>
      </c>
      <c r="G5" s="11">
        <v>0</v>
      </c>
      <c r="H5" s="11">
        <v>5</v>
      </c>
      <c r="I5" s="11">
        <v>0</v>
      </c>
      <c r="J5" s="11">
        <v>681</v>
      </c>
      <c r="K5" s="7">
        <v>0</v>
      </c>
      <c r="L5" s="7">
        <v>0</v>
      </c>
      <c r="M5" s="7">
        <v>0</v>
      </c>
    </row>
    <row r="6" spans="1:13" x14ac:dyDescent="0.25">
      <c r="A6" s="3" t="s">
        <v>11</v>
      </c>
      <c r="B6" s="3">
        <v>30</v>
      </c>
      <c r="C6" s="7">
        <v>-8.2879999999999995E-2</v>
      </c>
      <c r="D6" s="14">
        <v>0.69790200000000002</v>
      </c>
      <c r="E6" s="7">
        <v>2.1335099999999998</v>
      </c>
      <c r="F6" s="7">
        <v>0.13050700000000001</v>
      </c>
      <c r="G6" s="11">
        <v>3.6</v>
      </c>
      <c r="H6" s="11">
        <v>2.4</v>
      </c>
      <c r="I6" s="11">
        <v>2.6</v>
      </c>
      <c r="J6" s="11">
        <v>677.4</v>
      </c>
      <c r="K6" s="7">
        <v>0.447521</v>
      </c>
      <c r="L6" s="7">
        <v>0.443214</v>
      </c>
      <c r="M6" s="7">
        <v>0.514714</v>
      </c>
    </row>
    <row r="7" spans="1:13" x14ac:dyDescent="0.25">
      <c r="A7" s="3" t="s">
        <v>11</v>
      </c>
      <c r="B7" s="3">
        <v>40</v>
      </c>
      <c r="C7" s="7">
        <v>-0.26851399999999997</v>
      </c>
      <c r="D7" s="7">
        <v>0.64677600000000002</v>
      </c>
      <c r="E7" s="7">
        <v>2.1514570000000002</v>
      </c>
      <c r="F7" s="7">
        <v>0.117854</v>
      </c>
      <c r="G7" s="11">
        <v>3.4</v>
      </c>
      <c r="H7" s="11">
        <v>2.6</v>
      </c>
      <c r="I7" s="11">
        <v>2.4</v>
      </c>
      <c r="J7" s="11">
        <v>677.6</v>
      </c>
      <c r="K7" s="7">
        <v>0.44545499999999999</v>
      </c>
      <c r="L7" s="7">
        <v>0.44108799999999998</v>
      </c>
      <c r="M7" s="7">
        <v>0.47500700000000001</v>
      </c>
    </row>
    <row r="8" spans="1:13" x14ac:dyDescent="0.25">
      <c r="A8" s="3" t="s">
        <v>11</v>
      </c>
      <c r="B8" s="3">
        <v>50</v>
      </c>
      <c r="C8" s="7">
        <v>-0.14532300000000001</v>
      </c>
      <c r="D8" s="7">
        <v>0.65956700000000001</v>
      </c>
      <c r="E8" s="7">
        <v>2.2603249999999999</v>
      </c>
      <c r="F8" s="7">
        <v>0.11797299999999999</v>
      </c>
      <c r="G8" s="11">
        <v>3</v>
      </c>
      <c r="H8" s="11">
        <v>2.6</v>
      </c>
      <c r="I8" s="11">
        <v>2.4</v>
      </c>
      <c r="J8" s="11">
        <v>678</v>
      </c>
      <c r="K8" s="7">
        <v>0.44040400000000002</v>
      </c>
      <c r="L8" s="7">
        <v>0.43634600000000001</v>
      </c>
      <c r="M8" s="7">
        <v>0.47559499999999999</v>
      </c>
    </row>
    <row r="9" spans="1:13" x14ac:dyDescent="0.25">
      <c r="A9" s="3" t="s">
        <v>11</v>
      </c>
      <c r="B9" s="3">
        <v>60</v>
      </c>
      <c r="C9" s="7">
        <v>-0.45005699999999998</v>
      </c>
      <c r="D9" s="7">
        <v>0.51859</v>
      </c>
      <c r="E9" s="7">
        <v>2.5119859999999998</v>
      </c>
      <c r="F9" s="7">
        <v>0.116996</v>
      </c>
      <c r="G9" s="11">
        <v>2.8</v>
      </c>
      <c r="H9" s="11">
        <v>3.2</v>
      </c>
      <c r="I9" s="11">
        <v>1.8</v>
      </c>
      <c r="J9" s="11">
        <v>678.2</v>
      </c>
      <c r="K9" s="7">
        <v>0.35707100000000003</v>
      </c>
      <c r="L9" s="7">
        <v>0.35276000000000002</v>
      </c>
      <c r="M9" s="7">
        <v>0.35588799999999998</v>
      </c>
    </row>
    <row r="10" spans="1:13" x14ac:dyDescent="0.25">
      <c r="A10" s="5" t="s">
        <v>11</v>
      </c>
      <c r="B10" s="5">
        <v>70</v>
      </c>
      <c r="C10" s="8">
        <v>-0.25788299999999997</v>
      </c>
      <c r="D10" s="8">
        <v>0.63246599999999997</v>
      </c>
      <c r="E10" s="8">
        <v>2.161257</v>
      </c>
      <c r="F10" s="8">
        <v>0.12629499999999999</v>
      </c>
      <c r="G10" s="12">
        <v>2.4</v>
      </c>
      <c r="H10" s="15">
        <v>2.2000000000000002</v>
      </c>
      <c r="I10" s="15">
        <v>2.8</v>
      </c>
      <c r="J10" s="12">
        <v>678.6</v>
      </c>
      <c r="K10" s="14">
        <v>0.54545500000000002</v>
      </c>
      <c r="L10" s="14">
        <v>0.54208100000000004</v>
      </c>
      <c r="M10" s="14">
        <v>0.55647599999999997</v>
      </c>
    </row>
    <row r="11" spans="1:13" x14ac:dyDescent="0.25">
      <c r="A11" s="3" t="s">
        <v>11</v>
      </c>
      <c r="B11" s="3">
        <v>80</v>
      </c>
      <c r="C11" s="7">
        <v>-0.15529499999999999</v>
      </c>
      <c r="D11" s="7">
        <v>0.68620400000000004</v>
      </c>
      <c r="E11" s="14">
        <v>2.1246239999999998</v>
      </c>
      <c r="F11" s="7">
        <v>0.14221800000000001</v>
      </c>
      <c r="G11" s="11">
        <v>2.2000000000000002</v>
      </c>
      <c r="H11" s="11">
        <v>2.4</v>
      </c>
      <c r="I11" s="11">
        <v>2.6</v>
      </c>
      <c r="J11" s="11">
        <v>678.8</v>
      </c>
      <c r="K11" s="7">
        <v>0.51343399999999995</v>
      </c>
      <c r="L11" s="7">
        <v>0.51013200000000003</v>
      </c>
      <c r="M11" s="7">
        <v>0.51676900000000003</v>
      </c>
    </row>
    <row r="12" spans="1:13" x14ac:dyDescent="0.25">
      <c r="A12" s="3" t="s">
        <v>11</v>
      </c>
      <c r="B12" s="3">
        <v>90</v>
      </c>
      <c r="C12" s="7">
        <v>-0.30690899999999999</v>
      </c>
      <c r="D12" s="7">
        <v>0.62344599999999994</v>
      </c>
      <c r="E12" s="7">
        <v>2.2347950000000001</v>
      </c>
      <c r="F12" s="7">
        <v>0.138595</v>
      </c>
      <c r="G12" s="11">
        <v>3</v>
      </c>
      <c r="H12" s="11">
        <v>2.6</v>
      </c>
      <c r="I12" s="11">
        <v>2.4</v>
      </c>
      <c r="J12" s="11">
        <v>678</v>
      </c>
      <c r="K12" s="7">
        <v>0.45358199999999999</v>
      </c>
      <c r="L12" s="7">
        <v>0.44953500000000002</v>
      </c>
      <c r="M12" s="7">
        <v>0.47559499999999999</v>
      </c>
    </row>
    <row r="13" spans="1:13" x14ac:dyDescent="0.25">
      <c r="A13" s="5" t="s">
        <v>12</v>
      </c>
      <c r="B13" s="5">
        <v>10</v>
      </c>
      <c r="C13" s="14">
        <v>0.14282500000000001</v>
      </c>
      <c r="D13" s="8">
        <v>0.75114199999999998</v>
      </c>
      <c r="E13" s="8">
        <v>1.8573679999999999</v>
      </c>
      <c r="F13" s="14">
        <v>0.10349999999999999</v>
      </c>
      <c r="G13" s="15">
        <v>1.6</v>
      </c>
      <c r="H13" s="12">
        <v>1.2</v>
      </c>
      <c r="I13" s="12">
        <v>3.8</v>
      </c>
      <c r="J13" s="15">
        <v>679.4</v>
      </c>
      <c r="K13" s="14">
        <v>0.72969700000000004</v>
      </c>
      <c r="L13" s="14">
        <v>0.727657</v>
      </c>
      <c r="M13" s="8">
        <v>0.75765099999999996</v>
      </c>
    </row>
    <row r="14" spans="1:13" x14ac:dyDescent="0.25">
      <c r="A14" s="4" t="s">
        <v>12</v>
      </c>
      <c r="B14" s="4">
        <v>20</v>
      </c>
      <c r="C14" s="9">
        <v>0.105125</v>
      </c>
      <c r="D14" s="9">
        <v>0.74171299999999996</v>
      </c>
      <c r="E14" s="9">
        <v>1.652577</v>
      </c>
      <c r="F14" s="9">
        <v>0.147424</v>
      </c>
      <c r="G14" s="13">
        <v>3.8</v>
      </c>
      <c r="H14" s="13">
        <v>1</v>
      </c>
      <c r="I14" s="13">
        <v>4</v>
      </c>
      <c r="J14" s="13">
        <v>677.2</v>
      </c>
      <c r="K14" s="9">
        <v>0.625641</v>
      </c>
      <c r="L14" s="9">
        <v>0.62228399999999995</v>
      </c>
      <c r="M14" s="9">
        <v>0.79442000000000002</v>
      </c>
    </row>
    <row r="15" spans="1:13" x14ac:dyDescent="0.25">
      <c r="A15" s="4" t="s">
        <v>12</v>
      </c>
      <c r="B15" s="4">
        <v>30</v>
      </c>
      <c r="C15" s="9">
        <v>7.2341000000000003E-2</v>
      </c>
      <c r="D15" s="9">
        <v>0.73452099999999998</v>
      </c>
      <c r="E15" s="9">
        <v>1.5367219999999999</v>
      </c>
      <c r="F15" s="9">
        <v>0.18781900000000001</v>
      </c>
      <c r="G15" s="13">
        <v>4</v>
      </c>
      <c r="H15" s="13">
        <v>1</v>
      </c>
      <c r="I15" s="13">
        <v>4</v>
      </c>
      <c r="J15" s="13">
        <v>677</v>
      </c>
      <c r="K15" s="9">
        <v>0.61538499999999996</v>
      </c>
      <c r="L15" s="9">
        <v>0.61190299999999997</v>
      </c>
      <c r="M15" s="9">
        <v>0.794126</v>
      </c>
    </row>
    <row r="16" spans="1:13" x14ac:dyDescent="0.25">
      <c r="A16" s="4" t="s">
        <v>12</v>
      </c>
      <c r="B16" s="4">
        <v>40</v>
      </c>
      <c r="C16" s="9">
        <v>1.0078E-2</v>
      </c>
      <c r="D16" s="9">
        <v>0.71931999999999996</v>
      </c>
      <c r="E16" s="9">
        <v>1.5540879999999999</v>
      </c>
      <c r="F16" s="9">
        <v>0.23647000000000001</v>
      </c>
      <c r="G16" s="13">
        <v>4</v>
      </c>
      <c r="H16" s="13">
        <v>1</v>
      </c>
      <c r="I16" s="13">
        <v>4</v>
      </c>
      <c r="J16" s="13">
        <v>677</v>
      </c>
      <c r="K16" s="9">
        <v>0.61538499999999996</v>
      </c>
      <c r="L16" s="9">
        <v>0.61190299999999997</v>
      </c>
      <c r="M16" s="9">
        <v>0.794126</v>
      </c>
    </row>
    <row r="17" spans="1:13" x14ac:dyDescent="0.25">
      <c r="A17" s="4" t="s">
        <v>12</v>
      </c>
      <c r="B17" s="4">
        <v>50</v>
      </c>
      <c r="C17" s="9">
        <v>3.0079999999999998E-3</v>
      </c>
      <c r="D17" s="9">
        <v>0.71966699999999995</v>
      </c>
      <c r="E17" s="9">
        <v>1.550135</v>
      </c>
      <c r="F17" s="9">
        <v>0.31126999999999999</v>
      </c>
      <c r="G17" s="13">
        <v>3.4</v>
      </c>
      <c r="H17" s="13">
        <v>1</v>
      </c>
      <c r="I17" s="13">
        <v>4</v>
      </c>
      <c r="J17" s="13">
        <v>677.6</v>
      </c>
      <c r="K17" s="9">
        <v>0.64615400000000001</v>
      </c>
      <c r="L17" s="9">
        <v>0.64304600000000001</v>
      </c>
      <c r="M17" s="9">
        <v>0.79500700000000002</v>
      </c>
    </row>
    <row r="18" spans="1:13" x14ac:dyDescent="0.25">
      <c r="A18" s="4" t="s">
        <v>12</v>
      </c>
      <c r="B18" s="4">
        <v>60</v>
      </c>
      <c r="C18" s="9">
        <v>-2.5045999999999999E-2</v>
      </c>
      <c r="D18" s="9">
        <v>0.71774700000000002</v>
      </c>
      <c r="E18" s="9">
        <v>1.5566469999999999</v>
      </c>
      <c r="F18" s="9">
        <v>0.39663599999999999</v>
      </c>
      <c r="G18" s="13">
        <v>3</v>
      </c>
      <c r="H18" s="13">
        <v>1</v>
      </c>
      <c r="I18" s="13">
        <v>4</v>
      </c>
      <c r="J18" s="13">
        <v>678</v>
      </c>
      <c r="K18" s="9">
        <v>0.66666700000000001</v>
      </c>
      <c r="L18" s="9">
        <v>0.66380799999999995</v>
      </c>
      <c r="M18" s="9">
        <v>0.79559500000000005</v>
      </c>
    </row>
    <row r="19" spans="1:13" x14ac:dyDescent="0.25">
      <c r="A19" s="4" t="s">
        <v>12</v>
      </c>
      <c r="B19" s="4">
        <v>70</v>
      </c>
      <c r="C19" s="9">
        <v>-3.2611000000000001E-2</v>
      </c>
      <c r="D19" s="9">
        <v>0.71109199999999995</v>
      </c>
      <c r="E19" s="9">
        <v>1.5574730000000001</v>
      </c>
      <c r="F19" s="9">
        <v>0.53931399999999996</v>
      </c>
      <c r="G19" s="13">
        <v>3</v>
      </c>
      <c r="H19" s="13">
        <v>1</v>
      </c>
      <c r="I19" s="13">
        <v>4</v>
      </c>
      <c r="J19" s="13">
        <v>678</v>
      </c>
      <c r="K19" s="9">
        <v>0.66666700000000001</v>
      </c>
      <c r="L19" s="9">
        <v>0.66380799999999995</v>
      </c>
      <c r="M19" s="9">
        <v>0.79559500000000005</v>
      </c>
    </row>
    <row r="20" spans="1:13" x14ac:dyDescent="0.25">
      <c r="A20" s="4" t="s">
        <v>12</v>
      </c>
      <c r="B20" s="4">
        <v>80</v>
      </c>
      <c r="C20" s="9">
        <v>-3.3431000000000002E-2</v>
      </c>
      <c r="D20" s="9">
        <v>0.667327</v>
      </c>
      <c r="E20" s="14">
        <v>1.495282</v>
      </c>
      <c r="F20" s="9">
        <v>0.62686299999999995</v>
      </c>
      <c r="G20" s="13">
        <v>5.4</v>
      </c>
      <c r="H20" s="15">
        <v>0.4</v>
      </c>
      <c r="I20" s="15">
        <v>4.5999999999999996</v>
      </c>
      <c r="J20" s="13">
        <v>675.6</v>
      </c>
      <c r="K20" s="9">
        <v>0.61526599999999998</v>
      </c>
      <c r="L20" s="9">
        <v>0.61150899999999997</v>
      </c>
      <c r="M20" s="14">
        <v>0.91207000000000005</v>
      </c>
    </row>
    <row r="21" spans="1:13" x14ac:dyDescent="0.25">
      <c r="A21" s="4" t="s">
        <v>12</v>
      </c>
      <c r="B21" s="4">
        <v>90</v>
      </c>
      <c r="C21" s="9">
        <v>6.4785999999999996E-2</v>
      </c>
      <c r="D21" s="14">
        <v>0.65957699999999997</v>
      </c>
      <c r="E21" s="9">
        <v>1.7156960000000001</v>
      </c>
      <c r="F21" s="9">
        <v>1.1076550000000001</v>
      </c>
      <c r="G21" s="13">
        <v>5</v>
      </c>
      <c r="H21" s="13">
        <v>1.4</v>
      </c>
      <c r="I21" s="13">
        <v>3.6</v>
      </c>
      <c r="J21" s="13">
        <v>676</v>
      </c>
      <c r="K21" s="9">
        <v>0.54888899999999996</v>
      </c>
      <c r="L21" s="9">
        <v>0.54475600000000002</v>
      </c>
      <c r="M21" s="9">
        <v>0.71265800000000001</v>
      </c>
    </row>
    <row r="22" spans="1:13" x14ac:dyDescent="0.25">
      <c r="A22" s="5" t="s">
        <v>48</v>
      </c>
      <c r="B22" s="5">
        <v>10</v>
      </c>
      <c r="C22" s="14">
        <v>0.136573</v>
      </c>
      <c r="D22" s="14">
        <v>0.75274399999999997</v>
      </c>
      <c r="E22" s="8">
        <v>1.821383</v>
      </c>
      <c r="F22" s="14">
        <v>0.1032</v>
      </c>
      <c r="G22" s="15">
        <v>1.8</v>
      </c>
      <c r="H22" s="12">
        <v>1</v>
      </c>
      <c r="I22" s="12">
        <v>4</v>
      </c>
      <c r="J22" s="15">
        <v>679.2</v>
      </c>
      <c r="K22" s="14">
        <v>0.74181799999999998</v>
      </c>
      <c r="L22" s="14">
        <v>0.73977599999999999</v>
      </c>
      <c r="M22" s="8">
        <v>0.79735699999999998</v>
      </c>
    </row>
    <row r="23" spans="1:13" x14ac:dyDescent="0.25">
      <c r="A23" t="s">
        <v>48</v>
      </c>
      <c r="B23">
        <v>20</v>
      </c>
      <c r="C23" s="6">
        <v>9.3864000000000003E-2</v>
      </c>
      <c r="D23" s="6">
        <v>0.74246699999999999</v>
      </c>
      <c r="E23" s="6">
        <v>1.6128690000000001</v>
      </c>
      <c r="F23" s="6">
        <v>0.14449200000000001</v>
      </c>
      <c r="G23" s="10">
        <v>3.8</v>
      </c>
      <c r="H23" s="10">
        <v>1</v>
      </c>
      <c r="I23" s="10">
        <v>4</v>
      </c>
      <c r="J23" s="10">
        <v>677.2</v>
      </c>
      <c r="K23" s="6">
        <v>0.625641</v>
      </c>
      <c r="L23" s="6">
        <v>0.62228399999999995</v>
      </c>
      <c r="M23" s="6">
        <v>0.79442000000000002</v>
      </c>
    </row>
    <row r="24" spans="1:13" x14ac:dyDescent="0.25">
      <c r="A24" t="s">
        <v>48</v>
      </c>
      <c r="B24">
        <v>30</v>
      </c>
      <c r="C24" s="6">
        <v>6.6624000000000003E-2</v>
      </c>
      <c r="D24" s="6">
        <v>0.73739699999999997</v>
      </c>
      <c r="E24" s="6">
        <v>1.5419860000000001</v>
      </c>
      <c r="F24" s="6">
        <v>0.18917100000000001</v>
      </c>
      <c r="G24" s="10">
        <v>4</v>
      </c>
      <c r="H24" s="10">
        <v>1</v>
      </c>
      <c r="I24" s="10">
        <v>4</v>
      </c>
      <c r="J24" s="10">
        <v>677</v>
      </c>
      <c r="K24" s="6">
        <v>0.61538499999999996</v>
      </c>
      <c r="L24" s="6">
        <v>0.61190299999999997</v>
      </c>
      <c r="M24" s="6">
        <v>0.794126</v>
      </c>
    </row>
    <row r="25" spans="1:13" x14ac:dyDescent="0.25">
      <c r="A25" t="s">
        <v>48</v>
      </c>
      <c r="B25">
        <v>40</v>
      </c>
      <c r="C25" s="6">
        <v>6.0637999999999997E-2</v>
      </c>
      <c r="D25" s="6">
        <v>0.73515299999999995</v>
      </c>
      <c r="E25" s="6">
        <v>1.530213</v>
      </c>
      <c r="F25" s="6">
        <v>0.245616</v>
      </c>
      <c r="G25" s="10">
        <v>4</v>
      </c>
      <c r="H25" s="10">
        <v>1</v>
      </c>
      <c r="I25" s="10">
        <v>4</v>
      </c>
      <c r="J25" s="10">
        <v>677</v>
      </c>
      <c r="K25" s="6">
        <v>0.61538499999999996</v>
      </c>
      <c r="L25" s="6">
        <v>0.61190299999999997</v>
      </c>
      <c r="M25" s="6">
        <v>0.794126</v>
      </c>
    </row>
    <row r="26" spans="1:13" x14ac:dyDescent="0.25">
      <c r="A26" t="s">
        <v>48</v>
      </c>
      <c r="B26">
        <v>50</v>
      </c>
      <c r="C26" s="6">
        <v>1.5740000000000001E-3</v>
      </c>
      <c r="D26" s="6">
        <v>0.72469499999999998</v>
      </c>
      <c r="E26" s="6">
        <v>1.547744</v>
      </c>
      <c r="F26" s="6">
        <v>0.31223299999999998</v>
      </c>
      <c r="G26" s="10">
        <v>3.6</v>
      </c>
      <c r="H26" s="10">
        <v>1</v>
      </c>
      <c r="I26" s="10">
        <v>4</v>
      </c>
      <c r="J26" s="10">
        <v>677.4</v>
      </c>
      <c r="K26" s="6">
        <v>0.63589700000000005</v>
      </c>
      <c r="L26" s="6">
        <v>0.63266500000000003</v>
      </c>
      <c r="M26" s="6">
        <v>0.79471400000000003</v>
      </c>
    </row>
    <row r="27" spans="1:13" x14ac:dyDescent="0.25">
      <c r="A27" t="s">
        <v>48</v>
      </c>
      <c r="B27">
        <v>60</v>
      </c>
      <c r="C27" s="6">
        <v>-1.5990999999999998E-2</v>
      </c>
      <c r="D27" s="6">
        <v>0.71900600000000003</v>
      </c>
      <c r="E27" s="6">
        <v>1.5592459999999999</v>
      </c>
      <c r="F27" s="6">
        <v>0.39212399999999997</v>
      </c>
      <c r="G27" s="10">
        <v>3.2</v>
      </c>
      <c r="H27" s="10">
        <v>1</v>
      </c>
      <c r="I27" s="10">
        <v>4</v>
      </c>
      <c r="J27" s="10">
        <v>677.8</v>
      </c>
      <c r="K27" s="6">
        <v>0.65641000000000005</v>
      </c>
      <c r="L27" s="6">
        <v>0.65342699999999998</v>
      </c>
      <c r="M27" s="6">
        <v>0.79530100000000004</v>
      </c>
    </row>
    <row r="28" spans="1:13" x14ac:dyDescent="0.25">
      <c r="A28" t="s">
        <v>48</v>
      </c>
      <c r="B28">
        <v>70</v>
      </c>
      <c r="C28" s="6">
        <v>1.2751999999999999E-2</v>
      </c>
      <c r="D28" s="6">
        <v>0.67782799999999999</v>
      </c>
      <c r="E28" s="6">
        <v>1.458421</v>
      </c>
      <c r="F28" s="6">
        <v>0.48039100000000001</v>
      </c>
      <c r="G28" s="10">
        <v>4.2</v>
      </c>
      <c r="H28" s="15">
        <v>0.6</v>
      </c>
      <c r="I28" s="15">
        <v>4.4000000000000004</v>
      </c>
      <c r="J28" s="10">
        <v>676.8</v>
      </c>
      <c r="K28" s="6">
        <v>0.65</v>
      </c>
      <c r="L28" s="6">
        <v>0.64676599999999995</v>
      </c>
      <c r="M28" s="14">
        <v>0.87383299999999997</v>
      </c>
    </row>
    <row r="29" spans="1:13" x14ac:dyDescent="0.25">
      <c r="A29" t="s">
        <v>48</v>
      </c>
      <c r="B29">
        <v>80</v>
      </c>
      <c r="C29" s="6">
        <v>-0.155971</v>
      </c>
      <c r="D29" s="6">
        <v>0.60075100000000003</v>
      </c>
      <c r="E29" s="14">
        <v>1.4428749999999999</v>
      </c>
      <c r="F29" s="6">
        <v>0.65751599999999999</v>
      </c>
      <c r="G29" s="10">
        <v>6.6</v>
      </c>
      <c r="H29" s="15">
        <v>0.6</v>
      </c>
      <c r="I29" s="15">
        <v>4.4000000000000004</v>
      </c>
      <c r="J29" s="10">
        <v>674.4</v>
      </c>
      <c r="K29" s="6">
        <v>0.56105400000000005</v>
      </c>
      <c r="L29" s="6">
        <v>0.55662800000000001</v>
      </c>
      <c r="M29" s="6">
        <v>0.87030799999999997</v>
      </c>
    </row>
    <row r="30" spans="1:13" x14ac:dyDescent="0.25">
      <c r="A30" t="s">
        <v>48</v>
      </c>
      <c r="B30">
        <v>90</v>
      </c>
      <c r="C30" s="6">
        <v>-0.27325500000000003</v>
      </c>
      <c r="D30" s="6">
        <v>0.31986599999999998</v>
      </c>
      <c r="E30" s="6">
        <v>2.1093069999999998</v>
      </c>
      <c r="F30" s="6">
        <v>0.86605100000000002</v>
      </c>
      <c r="G30">
        <v>15.2</v>
      </c>
      <c r="H30">
        <v>1.8</v>
      </c>
      <c r="I30">
        <v>3.2</v>
      </c>
      <c r="J30">
        <v>665.8</v>
      </c>
      <c r="K30" s="6">
        <v>0.270094</v>
      </c>
      <c r="L30" s="6">
        <v>0.26167400000000002</v>
      </c>
      <c r="M30" s="6">
        <v>0.61768000000000001</v>
      </c>
    </row>
    <row r="31" spans="1:13" x14ac:dyDescent="0.25">
      <c r="A31" s="3" t="s">
        <v>100</v>
      </c>
      <c r="B31" s="11">
        <v>0</v>
      </c>
      <c r="C31" s="7">
        <v>-8.2821000000000006E-2</v>
      </c>
      <c r="D31" s="7">
        <v>0.701187</v>
      </c>
      <c r="E31" s="7">
        <v>2.6695120000000001</v>
      </c>
      <c r="F31" s="7">
        <v>6.6607E-2</v>
      </c>
      <c r="G31" s="11">
        <v>0.4</v>
      </c>
      <c r="H31" s="11">
        <v>5</v>
      </c>
      <c r="I31" s="11">
        <v>0</v>
      </c>
      <c r="J31" s="11">
        <v>680.6</v>
      </c>
      <c r="K31" s="7">
        <v>0</v>
      </c>
      <c r="L31" s="7">
        <v>-9.7400000000000004E-4</v>
      </c>
      <c r="M31" s="7">
        <v>0</v>
      </c>
    </row>
    <row r="32" spans="1:13" x14ac:dyDescent="0.25">
      <c r="A32" s="3" t="s">
        <v>100</v>
      </c>
      <c r="B32" s="11">
        <v>0.1</v>
      </c>
      <c r="C32" s="7">
        <v>-5.4288000000000003E-2</v>
      </c>
      <c r="D32" s="7">
        <v>0.70038100000000003</v>
      </c>
      <c r="E32" s="7">
        <v>2.6445660000000002</v>
      </c>
      <c r="F32" s="7">
        <v>6.9195000000000007E-2</v>
      </c>
      <c r="G32" s="11">
        <v>0.6</v>
      </c>
      <c r="H32" s="11">
        <v>5</v>
      </c>
      <c r="I32" s="11">
        <v>0</v>
      </c>
      <c r="J32" s="11">
        <v>680.4</v>
      </c>
      <c r="K32" s="7">
        <v>0</v>
      </c>
      <c r="L32" s="7">
        <v>-1.4610000000000001E-3</v>
      </c>
      <c r="M32" s="7">
        <v>0</v>
      </c>
    </row>
    <row r="33" spans="1:13" x14ac:dyDescent="0.25">
      <c r="A33" s="3" t="s">
        <v>100</v>
      </c>
      <c r="B33" s="11">
        <v>0.2</v>
      </c>
      <c r="C33" s="7">
        <v>-6.4257999999999996E-2</v>
      </c>
      <c r="D33" s="7">
        <v>0.71214500000000003</v>
      </c>
      <c r="E33" s="7">
        <v>2.4943919999999999</v>
      </c>
      <c r="F33" s="7">
        <v>6.9333000000000006E-2</v>
      </c>
      <c r="G33" s="11">
        <v>0.8</v>
      </c>
      <c r="H33" s="11">
        <v>4.5999999999999996</v>
      </c>
      <c r="I33" s="11">
        <v>0.4</v>
      </c>
      <c r="J33" s="11">
        <v>680.2</v>
      </c>
      <c r="K33" s="7">
        <v>0.1</v>
      </c>
      <c r="L33" s="7">
        <v>9.7989000000000007E-2</v>
      </c>
      <c r="M33" s="7">
        <v>7.9705999999999999E-2</v>
      </c>
    </row>
    <row r="34" spans="1:13" x14ac:dyDescent="0.25">
      <c r="A34" s="3" t="s">
        <v>100</v>
      </c>
      <c r="B34" s="11">
        <v>0.3</v>
      </c>
      <c r="C34" s="7">
        <v>-5.2691000000000002E-2</v>
      </c>
      <c r="D34" s="7">
        <v>0.71154399999999995</v>
      </c>
      <c r="E34" s="7">
        <v>2.4413290000000001</v>
      </c>
      <c r="F34" s="7">
        <v>7.1948999999999999E-2</v>
      </c>
      <c r="G34" s="11">
        <v>0.8</v>
      </c>
      <c r="H34" s="11">
        <v>4.5999999999999996</v>
      </c>
      <c r="I34" s="11">
        <v>0.4</v>
      </c>
      <c r="J34" s="11">
        <v>680.2</v>
      </c>
      <c r="K34" s="7">
        <v>0.1</v>
      </c>
      <c r="L34" s="7">
        <v>9.7989000000000007E-2</v>
      </c>
      <c r="M34" s="7">
        <v>7.9705999999999999E-2</v>
      </c>
    </row>
    <row r="35" spans="1:13" x14ac:dyDescent="0.25">
      <c r="A35" s="3" t="s">
        <v>100</v>
      </c>
      <c r="B35" s="11">
        <v>0.4</v>
      </c>
      <c r="C35" s="7">
        <v>1.7631999999999998E-2</v>
      </c>
      <c r="D35" s="7">
        <v>0.70215000000000005</v>
      </c>
      <c r="E35" s="7">
        <v>2.4413149999999999</v>
      </c>
      <c r="F35" s="7">
        <v>7.7204999999999996E-2</v>
      </c>
      <c r="G35" s="11">
        <v>0.8</v>
      </c>
      <c r="H35" s="11">
        <v>4.5999999999999996</v>
      </c>
      <c r="I35" s="11">
        <v>0.4</v>
      </c>
      <c r="J35" s="11">
        <v>680.2</v>
      </c>
      <c r="K35" s="7">
        <v>0.1</v>
      </c>
      <c r="L35" s="7">
        <v>9.7989000000000007E-2</v>
      </c>
      <c r="M35" s="7">
        <v>7.9705999999999999E-2</v>
      </c>
    </row>
    <row r="36" spans="1:13" x14ac:dyDescent="0.25">
      <c r="A36" s="3" t="s">
        <v>100</v>
      </c>
      <c r="B36" s="11">
        <v>0.5</v>
      </c>
      <c r="C36" s="7">
        <v>2.4242E-2</v>
      </c>
      <c r="D36" s="7">
        <v>0.69609200000000004</v>
      </c>
      <c r="E36" s="7">
        <v>2.3515579999999998</v>
      </c>
      <c r="F36" s="7">
        <v>8.0459000000000003E-2</v>
      </c>
      <c r="G36" s="11">
        <v>0.8</v>
      </c>
      <c r="H36" s="11">
        <v>4</v>
      </c>
      <c r="I36" s="11">
        <v>1</v>
      </c>
      <c r="J36" s="11">
        <v>680.2</v>
      </c>
      <c r="K36" s="7">
        <v>0.25714300000000001</v>
      </c>
      <c r="L36" s="7">
        <v>0.25495899999999999</v>
      </c>
      <c r="M36" s="7">
        <v>0.19911899999999999</v>
      </c>
    </row>
    <row r="37" spans="1:13" x14ac:dyDescent="0.25">
      <c r="A37" s="3" t="s">
        <v>100</v>
      </c>
      <c r="B37" s="11">
        <v>0.6</v>
      </c>
      <c r="C37" s="7">
        <v>2.4806999999999999E-2</v>
      </c>
      <c r="D37" s="7">
        <v>0.70697299999999996</v>
      </c>
      <c r="E37" s="7">
        <v>2.1868089999999998</v>
      </c>
      <c r="F37" s="7">
        <v>8.2253999999999994E-2</v>
      </c>
      <c r="G37" s="11">
        <v>1</v>
      </c>
      <c r="H37" s="11">
        <v>3.4</v>
      </c>
      <c r="I37" s="11">
        <v>1.6</v>
      </c>
      <c r="J37" s="11">
        <v>680</v>
      </c>
      <c r="K37" s="7">
        <v>0.4</v>
      </c>
      <c r="L37" s="7">
        <v>0.397314</v>
      </c>
      <c r="M37" s="7">
        <v>0.31882500000000003</v>
      </c>
    </row>
    <row r="38" spans="1:13" x14ac:dyDescent="0.25">
      <c r="A38" s="3" t="s">
        <v>100</v>
      </c>
      <c r="B38" s="11">
        <v>0.7</v>
      </c>
      <c r="C38" s="7">
        <v>5.3383E-2</v>
      </c>
      <c r="D38" s="7">
        <v>0.70064499999999996</v>
      </c>
      <c r="E38" s="7">
        <v>2.082732</v>
      </c>
      <c r="F38" s="7">
        <v>9.3123999999999998E-2</v>
      </c>
      <c r="G38" s="11">
        <v>1</v>
      </c>
      <c r="H38" s="11">
        <v>3.2</v>
      </c>
      <c r="I38" s="11">
        <v>1.8</v>
      </c>
      <c r="J38" s="11">
        <v>680</v>
      </c>
      <c r="K38" s="7">
        <v>0.45714300000000002</v>
      </c>
      <c r="L38" s="7">
        <v>0.454347</v>
      </c>
      <c r="M38" s="7">
        <v>0.35853200000000002</v>
      </c>
    </row>
    <row r="39" spans="1:13" x14ac:dyDescent="0.25">
      <c r="A39" s="3" t="s">
        <v>100</v>
      </c>
      <c r="B39" s="11">
        <v>0.8</v>
      </c>
      <c r="C39" s="7">
        <v>9.8100000000000007E-2</v>
      </c>
      <c r="D39" s="7">
        <v>0.68890200000000001</v>
      </c>
      <c r="E39" s="7">
        <v>1.9681690000000001</v>
      </c>
      <c r="F39" s="7">
        <v>0.11650099999999999</v>
      </c>
      <c r="G39" s="11">
        <v>1</v>
      </c>
      <c r="H39" s="11">
        <v>2</v>
      </c>
      <c r="I39" s="11">
        <v>3</v>
      </c>
      <c r="J39" s="11">
        <v>680</v>
      </c>
      <c r="K39" s="7">
        <v>0.66666700000000001</v>
      </c>
      <c r="L39" s="7">
        <v>0.664493</v>
      </c>
      <c r="M39" s="7">
        <v>0.59853199999999995</v>
      </c>
    </row>
    <row r="40" spans="1:13" x14ac:dyDescent="0.25">
      <c r="A40" s="5" t="s">
        <v>100</v>
      </c>
      <c r="B40" s="12">
        <v>0.9</v>
      </c>
      <c r="C40" s="8">
        <v>8.2866999999999996E-2</v>
      </c>
      <c r="D40" s="8">
        <v>0.70788200000000001</v>
      </c>
      <c r="E40" s="8">
        <v>1.725506</v>
      </c>
      <c r="F40" s="8">
        <v>0.14957500000000001</v>
      </c>
      <c r="G40" s="12">
        <v>1.8</v>
      </c>
      <c r="H40" s="12">
        <v>1</v>
      </c>
      <c r="I40" s="12">
        <v>4</v>
      </c>
      <c r="J40" s="12">
        <v>679.2</v>
      </c>
      <c r="K40" s="8">
        <v>0.74424199999999996</v>
      </c>
      <c r="L40" s="8">
        <v>0.74220900000000001</v>
      </c>
      <c r="M40" s="8">
        <v>0.79735699999999998</v>
      </c>
    </row>
    <row r="41" spans="1:13" x14ac:dyDescent="0.25">
      <c r="A41" s="3" t="s">
        <v>100</v>
      </c>
      <c r="B41" s="11">
        <v>1</v>
      </c>
      <c r="C41" s="7">
        <v>-0.104463</v>
      </c>
      <c r="D41" s="7">
        <v>9.7425999999999999E-2</v>
      </c>
      <c r="E41" s="7">
        <v>1.7703819999999999</v>
      </c>
      <c r="F41" s="7">
        <v>2.130255</v>
      </c>
      <c r="G41" s="11">
        <v>681</v>
      </c>
      <c r="H41" s="11">
        <v>0</v>
      </c>
      <c r="I41" s="11">
        <v>5</v>
      </c>
      <c r="J41" s="11">
        <v>0</v>
      </c>
      <c r="K41" s="7">
        <v>1.4472E-2</v>
      </c>
      <c r="L41" s="7">
        <v>0</v>
      </c>
      <c r="M41" s="7">
        <v>0</v>
      </c>
    </row>
    <row r="42" spans="1:13" x14ac:dyDescent="0.25">
      <c r="A42" s="3" t="s">
        <v>100</v>
      </c>
      <c r="B42" s="11">
        <v>1.5</v>
      </c>
      <c r="C42" s="7">
        <v>-5.3978999999999999E-2</v>
      </c>
      <c r="D42" s="7">
        <v>0.42027399999999998</v>
      </c>
      <c r="E42" s="7">
        <v>1.614379</v>
      </c>
      <c r="F42" s="7">
        <v>2.2808299999999999</v>
      </c>
      <c r="G42" s="11">
        <v>681</v>
      </c>
      <c r="H42" s="11">
        <v>0</v>
      </c>
      <c r="I42" s="11">
        <v>5</v>
      </c>
      <c r="J42" s="11">
        <v>0</v>
      </c>
      <c r="K42" s="7">
        <v>1.4472E-2</v>
      </c>
      <c r="L42" s="7">
        <v>0</v>
      </c>
      <c r="M42" s="7">
        <v>0</v>
      </c>
    </row>
    <row r="43" spans="1:13" x14ac:dyDescent="0.25">
      <c r="A43" s="3" t="s">
        <v>100</v>
      </c>
      <c r="B43" s="11">
        <v>2</v>
      </c>
      <c r="C43" s="7">
        <v>-0.159667</v>
      </c>
      <c r="D43" s="7">
        <v>0.12662599999999999</v>
      </c>
      <c r="E43" s="7">
        <v>1.5739069999999999</v>
      </c>
      <c r="F43" s="7">
        <v>2.3237230000000002</v>
      </c>
      <c r="G43" s="11">
        <v>681</v>
      </c>
      <c r="H43" s="11">
        <v>0</v>
      </c>
      <c r="I43" s="11">
        <v>5</v>
      </c>
      <c r="J43" s="11">
        <v>0</v>
      </c>
      <c r="K43" s="7">
        <v>1.4472E-2</v>
      </c>
      <c r="L43" s="7">
        <v>0</v>
      </c>
      <c r="M43" s="7">
        <v>0</v>
      </c>
    </row>
    <row r="44" spans="1:13" x14ac:dyDescent="0.25">
      <c r="A44" s="4" t="s">
        <v>101</v>
      </c>
      <c r="B44" s="13">
        <v>0</v>
      </c>
      <c r="C44" s="9">
        <v>-6.2413000000000003E-2</v>
      </c>
      <c r="D44" s="9">
        <v>0.705376</v>
      </c>
      <c r="E44" s="9">
        <v>2.3711340000000001</v>
      </c>
      <c r="F44" s="9">
        <v>6.4572000000000004E-2</v>
      </c>
      <c r="G44" s="13">
        <v>1</v>
      </c>
      <c r="H44" s="13">
        <v>4.2</v>
      </c>
      <c r="I44" s="13">
        <v>0.8</v>
      </c>
      <c r="J44" s="13">
        <v>680</v>
      </c>
      <c r="K44" s="9">
        <v>0.2</v>
      </c>
      <c r="L44" s="9">
        <v>0.197439</v>
      </c>
      <c r="M44" s="9">
        <v>0.159413</v>
      </c>
    </row>
    <row r="45" spans="1:13" x14ac:dyDescent="0.25">
      <c r="A45" s="4" t="s">
        <v>101</v>
      </c>
      <c r="B45" s="13">
        <v>0.1</v>
      </c>
      <c r="C45" s="9">
        <v>-6.2169000000000002E-2</v>
      </c>
      <c r="D45" s="9">
        <v>0.706785</v>
      </c>
      <c r="E45" s="9">
        <v>2.325812</v>
      </c>
      <c r="F45" s="9">
        <v>6.6292000000000004E-2</v>
      </c>
      <c r="G45" s="13">
        <v>1</v>
      </c>
      <c r="H45" s="13">
        <v>3.8</v>
      </c>
      <c r="I45" s="13">
        <v>1.2</v>
      </c>
      <c r="J45" s="13">
        <v>680</v>
      </c>
      <c r="K45" s="9">
        <v>0.31428600000000001</v>
      </c>
      <c r="L45" s="9">
        <v>0.311504</v>
      </c>
      <c r="M45" s="9">
        <v>0.23882500000000001</v>
      </c>
    </row>
    <row r="46" spans="1:13" x14ac:dyDescent="0.25">
      <c r="A46" s="4" t="s">
        <v>101</v>
      </c>
      <c r="B46" s="13">
        <v>0.2</v>
      </c>
      <c r="C46" s="9">
        <v>-6.2243E-2</v>
      </c>
      <c r="D46" s="9">
        <v>0.70671200000000001</v>
      </c>
      <c r="E46" s="9">
        <v>2.2690510000000002</v>
      </c>
      <c r="F46" s="9">
        <v>6.7155999999999993E-2</v>
      </c>
      <c r="G46" s="13">
        <v>1</v>
      </c>
      <c r="H46" s="13">
        <v>3.2</v>
      </c>
      <c r="I46" s="13">
        <v>1.8</v>
      </c>
      <c r="J46" s="13">
        <v>680</v>
      </c>
      <c r="K46" s="9">
        <v>0.45714300000000002</v>
      </c>
      <c r="L46" s="9">
        <v>0.454347</v>
      </c>
      <c r="M46" s="9">
        <v>0.35853200000000002</v>
      </c>
    </row>
    <row r="47" spans="1:13" x14ac:dyDescent="0.25">
      <c r="A47" s="4" t="s">
        <v>101</v>
      </c>
      <c r="B47" s="13">
        <v>0.3</v>
      </c>
      <c r="C47" s="9">
        <v>-6.1037000000000001E-2</v>
      </c>
      <c r="D47" s="9">
        <v>0.70718300000000001</v>
      </c>
      <c r="E47" s="9">
        <v>2.2088199999999998</v>
      </c>
      <c r="F47" s="9">
        <v>6.8356E-2</v>
      </c>
      <c r="G47" s="13">
        <v>1</v>
      </c>
      <c r="H47" s="13">
        <v>3</v>
      </c>
      <c r="I47" s="13">
        <v>2</v>
      </c>
      <c r="J47" s="13">
        <v>680</v>
      </c>
      <c r="K47" s="9">
        <v>0.5</v>
      </c>
      <c r="L47" s="9">
        <v>0.49725200000000003</v>
      </c>
      <c r="M47" s="9">
        <v>0.398532</v>
      </c>
    </row>
    <row r="48" spans="1:13" x14ac:dyDescent="0.25">
      <c r="A48" s="4" t="s">
        <v>101</v>
      </c>
      <c r="B48" s="13">
        <v>0.4</v>
      </c>
      <c r="C48" s="9">
        <v>-5.9525000000000002E-2</v>
      </c>
      <c r="D48" s="9">
        <v>0.708623</v>
      </c>
      <c r="E48" s="9">
        <v>2.1444190000000001</v>
      </c>
      <c r="F48" s="9">
        <v>6.9998000000000005E-2</v>
      </c>
      <c r="G48" s="13">
        <v>1</v>
      </c>
      <c r="H48" s="13">
        <v>3</v>
      </c>
      <c r="I48" s="13">
        <v>2</v>
      </c>
      <c r="J48" s="13">
        <v>680</v>
      </c>
      <c r="K48" s="9">
        <v>0.5</v>
      </c>
      <c r="L48" s="9">
        <v>0.49725200000000003</v>
      </c>
      <c r="M48" s="9">
        <v>0.398532</v>
      </c>
    </row>
    <row r="49" spans="1:13" x14ac:dyDescent="0.25">
      <c r="A49" s="4" t="s">
        <v>101</v>
      </c>
      <c r="B49" s="13">
        <v>0.5</v>
      </c>
      <c r="C49" s="9">
        <v>3.159E-2</v>
      </c>
      <c r="D49" s="9">
        <v>0.73421899999999996</v>
      </c>
      <c r="E49" s="9">
        <v>2.0154160000000001</v>
      </c>
      <c r="F49" s="9">
        <v>7.6780000000000001E-2</v>
      </c>
      <c r="G49" s="13">
        <v>1</v>
      </c>
      <c r="H49" s="13">
        <v>2.8</v>
      </c>
      <c r="I49" s="13">
        <v>2.2000000000000002</v>
      </c>
      <c r="J49" s="13">
        <v>680</v>
      </c>
      <c r="K49" s="9">
        <v>0.53333299999999995</v>
      </c>
      <c r="L49" s="9">
        <v>0.53069999999999995</v>
      </c>
      <c r="M49" s="9">
        <v>0.43853199999999998</v>
      </c>
    </row>
    <row r="50" spans="1:13" x14ac:dyDescent="0.25">
      <c r="A50" s="5" t="s">
        <v>101</v>
      </c>
      <c r="B50" s="12">
        <v>0.6</v>
      </c>
      <c r="C50" s="8">
        <v>0.121403</v>
      </c>
      <c r="D50" s="8">
        <v>0.751911</v>
      </c>
      <c r="E50" s="8">
        <v>1.905481</v>
      </c>
      <c r="F50" s="8">
        <v>8.1129000000000007E-2</v>
      </c>
      <c r="G50" s="12">
        <v>1</v>
      </c>
      <c r="H50" s="12">
        <v>1</v>
      </c>
      <c r="I50" s="12">
        <v>4</v>
      </c>
      <c r="J50" s="12">
        <v>680</v>
      </c>
      <c r="K50" s="8">
        <v>0.8</v>
      </c>
      <c r="L50" s="8">
        <v>0.79853200000000002</v>
      </c>
      <c r="M50" s="8">
        <v>0.79853200000000002</v>
      </c>
    </row>
    <row r="51" spans="1:13" x14ac:dyDescent="0.25">
      <c r="A51" s="5" t="s">
        <v>101</v>
      </c>
      <c r="B51" s="12">
        <v>0.7</v>
      </c>
      <c r="C51" s="8">
        <v>0.15332399999999999</v>
      </c>
      <c r="D51" s="8">
        <v>0.75725399999999998</v>
      </c>
      <c r="E51" s="8">
        <v>1.7930839999999999</v>
      </c>
      <c r="F51" s="8">
        <v>8.5597999999999994E-2</v>
      </c>
      <c r="G51" s="12">
        <v>1</v>
      </c>
      <c r="H51" s="12">
        <v>1</v>
      </c>
      <c r="I51" s="12">
        <v>4</v>
      </c>
      <c r="J51" s="12">
        <v>680</v>
      </c>
      <c r="K51" s="8">
        <v>0.8</v>
      </c>
      <c r="L51" s="8">
        <v>0.79853200000000002</v>
      </c>
      <c r="M51" s="8">
        <v>0.79853200000000002</v>
      </c>
    </row>
    <row r="52" spans="1:13" x14ac:dyDescent="0.25">
      <c r="A52" s="4" t="s">
        <v>101</v>
      </c>
      <c r="B52" s="13">
        <v>0.8</v>
      </c>
      <c r="C52" s="9">
        <v>0.14197299999999999</v>
      </c>
      <c r="D52" s="9">
        <v>0.75458000000000003</v>
      </c>
      <c r="E52" s="9">
        <v>1.709792</v>
      </c>
      <c r="F52" s="9">
        <v>9.0455999999999995E-2</v>
      </c>
      <c r="G52" s="13">
        <v>2</v>
      </c>
      <c r="H52" s="13">
        <v>1</v>
      </c>
      <c r="I52" s="13">
        <v>4</v>
      </c>
      <c r="J52" s="13">
        <v>679</v>
      </c>
      <c r="K52" s="9">
        <v>0.72727299999999995</v>
      </c>
      <c r="L52" s="9">
        <v>0.72508700000000004</v>
      </c>
      <c r="M52" s="9">
        <v>0.79706299999999997</v>
      </c>
    </row>
    <row r="53" spans="1:13" x14ac:dyDescent="0.25">
      <c r="A53" s="4" t="s">
        <v>101</v>
      </c>
      <c r="B53" s="13">
        <v>0.9</v>
      </c>
      <c r="C53" s="9">
        <v>6.1122999999999997E-2</v>
      </c>
      <c r="D53" s="9">
        <v>0.73400200000000004</v>
      </c>
      <c r="E53" s="9">
        <v>1.6491629999999999</v>
      </c>
      <c r="F53" s="9">
        <v>0.10718800000000001</v>
      </c>
      <c r="G53" s="13">
        <v>3.8</v>
      </c>
      <c r="H53" s="13">
        <v>1</v>
      </c>
      <c r="I53" s="13">
        <v>4</v>
      </c>
      <c r="J53" s="13">
        <v>677.2</v>
      </c>
      <c r="K53" s="9">
        <v>0.625641</v>
      </c>
      <c r="L53" s="9">
        <v>0.62228399999999995</v>
      </c>
      <c r="M53" s="9">
        <v>0.79442000000000002</v>
      </c>
    </row>
    <row r="54" spans="1:13" x14ac:dyDescent="0.25">
      <c r="A54" s="4" t="s">
        <v>101</v>
      </c>
      <c r="B54" s="13">
        <v>1</v>
      </c>
      <c r="C54" s="9">
        <v>-6.4745999999999998E-2</v>
      </c>
      <c r="D54" s="9">
        <v>0.70759300000000003</v>
      </c>
      <c r="E54" s="9">
        <v>1.543636</v>
      </c>
      <c r="F54" s="9">
        <v>1.511914</v>
      </c>
      <c r="G54" s="13">
        <v>4.5999999999999996</v>
      </c>
      <c r="H54" s="13">
        <v>0.6</v>
      </c>
      <c r="I54" s="13">
        <v>4.4000000000000004</v>
      </c>
      <c r="J54" s="13">
        <v>676.4</v>
      </c>
      <c r="K54" s="9">
        <v>0.62710600000000005</v>
      </c>
      <c r="L54" s="9">
        <v>0.62359399999999998</v>
      </c>
      <c r="M54" s="9">
        <v>0.87324500000000005</v>
      </c>
    </row>
    <row r="55" spans="1:13" x14ac:dyDescent="0.25">
      <c r="A55" s="4" t="s">
        <v>101</v>
      </c>
      <c r="B55" s="13">
        <v>1.5</v>
      </c>
      <c r="C55" s="9">
        <v>-6.5054000000000001E-2</v>
      </c>
      <c r="D55" s="9">
        <v>0.70901000000000003</v>
      </c>
      <c r="E55" s="9">
        <v>1.5006060000000001</v>
      </c>
      <c r="F55" s="9">
        <v>1.700623</v>
      </c>
      <c r="G55" s="13">
        <v>9</v>
      </c>
      <c r="H55" s="13">
        <v>0</v>
      </c>
      <c r="I55" s="13">
        <v>5</v>
      </c>
      <c r="J55" s="13">
        <v>672</v>
      </c>
      <c r="K55" s="9">
        <v>0.53034499999999996</v>
      </c>
      <c r="L55" s="9">
        <v>0.52524400000000004</v>
      </c>
      <c r="M55" s="9">
        <v>0.98678399999999999</v>
      </c>
    </row>
    <row r="56" spans="1:13" x14ac:dyDescent="0.25">
      <c r="A56" s="4" t="s">
        <v>101</v>
      </c>
      <c r="B56" s="13">
        <v>2</v>
      </c>
      <c r="C56" s="9">
        <v>-6.5053E-2</v>
      </c>
      <c r="D56" s="9">
        <v>0.70827300000000004</v>
      </c>
      <c r="E56" s="9">
        <v>1.486785</v>
      </c>
      <c r="F56" s="9">
        <v>1.7941309999999999</v>
      </c>
      <c r="G56" s="13">
        <v>10.4</v>
      </c>
      <c r="H56" s="13">
        <v>0</v>
      </c>
      <c r="I56" s="13">
        <v>5</v>
      </c>
      <c r="J56" s="13">
        <v>670.6</v>
      </c>
      <c r="K56" s="9">
        <v>0.49191200000000002</v>
      </c>
      <c r="L56" s="9">
        <v>0.48625800000000002</v>
      </c>
      <c r="M56" s="9">
        <v>0.98472800000000005</v>
      </c>
    </row>
    <row r="57" spans="1:13" x14ac:dyDescent="0.25">
      <c r="A57" t="s">
        <v>102</v>
      </c>
      <c r="B57" s="10">
        <v>0</v>
      </c>
      <c r="C57" s="6">
        <v>-6.6193000000000002E-2</v>
      </c>
      <c r="D57" s="6">
        <v>0.70646200000000003</v>
      </c>
      <c r="E57" s="6">
        <v>2.3594339999999998</v>
      </c>
      <c r="F57" s="6">
        <v>6.4643000000000006E-2</v>
      </c>
      <c r="G57" s="10">
        <v>1</v>
      </c>
      <c r="H57" s="10">
        <v>4</v>
      </c>
      <c r="I57" s="10">
        <v>1</v>
      </c>
      <c r="J57" s="10">
        <v>680</v>
      </c>
      <c r="K57" s="6">
        <v>0.25714300000000001</v>
      </c>
      <c r="L57" s="6">
        <v>0.25447199999999998</v>
      </c>
      <c r="M57" s="6">
        <v>0.19911899999999999</v>
      </c>
    </row>
    <row r="58" spans="1:13" x14ac:dyDescent="0.25">
      <c r="A58" t="s">
        <v>102</v>
      </c>
      <c r="B58" s="10">
        <v>0.1</v>
      </c>
      <c r="C58" s="6">
        <v>-6.6167000000000004E-2</v>
      </c>
      <c r="D58" s="6">
        <v>0.70703199999999999</v>
      </c>
      <c r="E58" s="6">
        <v>2.3118219999999998</v>
      </c>
      <c r="F58" s="6">
        <v>6.5866999999999995E-2</v>
      </c>
      <c r="G58" s="10">
        <v>1</v>
      </c>
      <c r="H58" s="10">
        <v>3.8</v>
      </c>
      <c r="I58" s="10">
        <v>1.2</v>
      </c>
      <c r="J58" s="10">
        <v>680</v>
      </c>
      <c r="K58" s="6">
        <v>0.31428600000000001</v>
      </c>
      <c r="L58" s="6">
        <v>0.311504</v>
      </c>
      <c r="M58" s="6">
        <v>0.23882500000000001</v>
      </c>
    </row>
    <row r="59" spans="1:13" x14ac:dyDescent="0.25">
      <c r="A59" t="s">
        <v>102</v>
      </c>
      <c r="B59" s="10">
        <v>0.2</v>
      </c>
      <c r="C59" s="6">
        <v>-6.5726000000000007E-2</v>
      </c>
      <c r="D59" s="6">
        <v>0.70826299999999998</v>
      </c>
      <c r="E59" s="6">
        <v>2.2610160000000001</v>
      </c>
      <c r="F59" s="6">
        <v>6.7462999999999995E-2</v>
      </c>
      <c r="G59" s="10">
        <v>1</v>
      </c>
      <c r="H59" s="10">
        <v>3</v>
      </c>
      <c r="I59" s="10">
        <v>2</v>
      </c>
      <c r="J59" s="10">
        <v>680</v>
      </c>
      <c r="K59" s="6">
        <v>0.5</v>
      </c>
      <c r="L59" s="6">
        <v>0.49725200000000003</v>
      </c>
      <c r="M59" s="6">
        <v>0.398532</v>
      </c>
    </row>
    <row r="60" spans="1:13" x14ac:dyDescent="0.25">
      <c r="A60" t="s">
        <v>102</v>
      </c>
      <c r="B60" s="10">
        <v>0.3</v>
      </c>
      <c r="C60" s="6">
        <v>-6.2002000000000002E-2</v>
      </c>
      <c r="D60" s="6">
        <v>0.71052499999999996</v>
      </c>
      <c r="E60" s="6">
        <v>2.2094049999999998</v>
      </c>
      <c r="F60" s="6">
        <v>6.9380999999999998E-2</v>
      </c>
      <c r="G60" s="10">
        <v>1</v>
      </c>
      <c r="H60" s="10">
        <v>3</v>
      </c>
      <c r="I60" s="10">
        <v>2</v>
      </c>
      <c r="J60" s="10">
        <v>680</v>
      </c>
      <c r="K60" s="6">
        <v>0.5</v>
      </c>
      <c r="L60" s="6">
        <v>0.49725200000000003</v>
      </c>
      <c r="M60" s="6">
        <v>0.398532</v>
      </c>
    </row>
    <row r="61" spans="1:13" x14ac:dyDescent="0.25">
      <c r="A61" t="s">
        <v>102</v>
      </c>
      <c r="B61" s="10">
        <v>0.4</v>
      </c>
      <c r="C61" s="6">
        <v>-4.2835999999999999E-2</v>
      </c>
      <c r="D61" s="6">
        <v>0.71796300000000002</v>
      </c>
      <c r="E61" s="6">
        <v>2.1431870000000002</v>
      </c>
      <c r="F61" s="6">
        <v>7.1959999999999996E-2</v>
      </c>
      <c r="G61" s="10">
        <v>1</v>
      </c>
      <c r="H61" s="10">
        <v>3</v>
      </c>
      <c r="I61" s="10">
        <v>2</v>
      </c>
      <c r="J61" s="10">
        <v>680</v>
      </c>
      <c r="K61" s="6">
        <v>0.5</v>
      </c>
      <c r="L61" s="6">
        <v>0.49725200000000003</v>
      </c>
      <c r="M61" s="6">
        <v>0.398532</v>
      </c>
    </row>
    <row r="62" spans="1:13" x14ac:dyDescent="0.25">
      <c r="A62" t="s">
        <v>102</v>
      </c>
      <c r="B62" s="10">
        <v>0.5</v>
      </c>
      <c r="C62" s="6">
        <v>6.3601000000000005E-2</v>
      </c>
      <c r="D62" s="6">
        <v>0.74345899999999998</v>
      </c>
      <c r="E62" s="6">
        <v>2.0151509999999999</v>
      </c>
      <c r="F62" s="6">
        <v>7.6638999999999999E-2</v>
      </c>
      <c r="G62" s="10">
        <v>1</v>
      </c>
      <c r="H62" s="10">
        <v>2.8</v>
      </c>
      <c r="I62" s="10">
        <v>2.2000000000000002</v>
      </c>
      <c r="J62" s="10">
        <v>680</v>
      </c>
      <c r="K62" s="6">
        <v>0.53333299999999995</v>
      </c>
      <c r="L62" s="6">
        <v>0.53069999999999995</v>
      </c>
      <c r="M62" s="6">
        <v>0.43853199999999998</v>
      </c>
    </row>
    <row r="63" spans="1:13" x14ac:dyDescent="0.25">
      <c r="A63" s="5" t="s">
        <v>102</v>
      </c>
      <c r="B63" s="12">
        <v>0.6</v>
      </c>
      <c r="C63" s="8">
        <v>0.15227099999999999</v>
      </c>
      <c r="D63" s="8">
        <v>0.75990199999999997</v>
      </c>
      <c r="E63" s="8">
        <v>1.9123300000000001</v>
      </c>
      <c r="F63" s="8">
        <v>8.0811999999999995E-2</v>
      </c>
      <c r="G63" s="12">
        <v>1</v>
      </c>
      <c r="H63" s="12">
        <v>1</v>
      </c>
      <c r="I63" s="12">
        <v>4</v>
      </c>
      <c r="J63" s="12">
        <v>680</v>
      </c>
      <c r="K63" s="8">
        <v>0.8</v>
      </c>
      <c r="L63" s="8">
        <v>0.79853200000000002</v>
      </c>
      <c r="M63" s="8">
        <v>0.79853200000000002</v>
      </c>
    </row>
    <row r="64" spans="1:13" x14ac:dyDescent="0.25">
      <c r="A64" s="5" t="s">
        <v>102</v>
      </c>
      <c r="B64" s="12">
        <v>0.7</v>
      </c>
      <c r="C64" s="8">
        <v>9.9424999999999999E-2</v>
      </c>
      <c r="D64" s="8">
        <v>0.75002899999999995</v>
      </c>
      <c r="E64" s="8">
        <v>1.8010969999999999</v>
      </c>
      <c r="F64" s="8">
        <v>8.4131999999999998E-2</v>
      </c>
      <c r="G64" s="12">
        <v>1</v>
      </c>
      <c r="H64" s="12">
        <v>1</v>
      </c>
      <c r="I64" s="12">
        <v>4</v>
      </c>
      <c r="J64" s="12">
        <v>680</v>
      </c>
      <c r="K64" s="8">
        <v>0.8</v>
      </c>
      <c r="L64" s="8">
        <v>0.79853200000000002</v>
      </c>
      <c r="M64" s="8">
        <v>0.79853200000000002</v>
      </c>
    </row>
    <row r="65" spans="1:13" x14ac:dyDescent="0.25">
      <c r="A65" t="s">
        <v>102</v>
      </c>
      <c r="B65" s="10">
        <v>0.8</v>
      </c>
      <c r="C65" s="6">
        <v>0.130888</v>
      </c>
      <c r="D65" s="6">
        <v>0.75275599999999998</v>
      </c>
      <c r="E65" s="6">
        <v>1.730216</v>
      </c>
      <c r="F65" s="6">
        <v>9.2729000000000006E-2</v>
      </c>
      <c r="G65" s="10">
        <v>2.6</v>
      </c>
      <c r="H65" s="10">
        <v>1</v>
      </c>
      <c r="I65" s="10">
        <v>4</v>
      </c>
      <c r="J65" s="10">
        <v>678.4</v>
      </c>
      <c r="K65" s="6">
        <v>0.690909</v>
      </c>
      <c r="L65" s="6">
        <v>0.68831900000000001</v>
      </c>
      <c r="M65" s="6">
        <v>0.79618199999999995</v>
      </c>
    </row>
    <row r="66" spans="1:13" x14ac:dyDescent="0.25">
      <c r="A66" t="s">
        <v>102</v>
      </c>
      <c r="B66" s="10">
        <v>0.9</v>
      </c>
      <c r="C66" s="6">
        <v>7.2637999999999994E-2</v>
      </c>
      <c r="D66" s="6">
        <v>0.73916800000000005</v>
      </c>
      <c r="E66" s="6">
        <v>1.6579440000000001</v>
      </c>
      <c r="F66" s="6">
        <v>0.10644000000000001</v>
      </c>
      <c r="G66" s="10">
        <v>3.6</v>
      </c>
      <c r="H66" s="10">
        <v>1</v>
      </c>
      <c r="I66" s="10">
        <v>4</v>
      </c>
      <c r="J66" s="10">
        <v>677.4</v>
      </c>
      <c r="K66" s="6">
        <v>0.63776200000000005</v>
      </c>
      <c r="L66" s="6">
        <v>0.63453999999999999</v>
      </c>
      <c r="M66" s="6">
        <v>0.79471400000000003</v>
      </c>
    </row>
    <row r="67" spans="1:13" x14ac:dyDescent="0.25">
      <c r="A67" t="s">
        <v>102</v>
      </c>
      <c r="B67" s="10">
        <v>1</v>
      </c>
      <c r="C67" s="6">
        <v>-6.7746000000000001E-2</v>
      </c>
      <c r="D67" s="6">
        <v>0.70797900000000002</v>
      </c>
      <c r="E67" s="6">
        <v>1.5431790000000001</v>
      </c>
      <c r="F67" s="6">
        <v>1.5116229999999999</v>
      </c>
      <c r="G67" s="10">
        <v>4.5999999999999996</v>
      </c>
      <c r="H67" s="10">
        <v>0.6</v>
      </c>
      <c r="I67" s="10">
        <v>4.4000000000000004</v>
      </c>
      <c r="J67" s="10">
        <v>676.4</v>
      </c>
      <c r="K67" s="6">
        <v>0.62710600000000005</v>
      </c>
      <c r="L67" s="6">
        <v>0.62359399999999998</v>
      </c>
      <c r="M67" s="6">
        <v>0.87324500000000005</v>
      </c>
    </row>
    <row r="68" spans="1:13" x14ac:dyDescent="0.25">
      <c r="A68" t="s">
        <v>102</v>
      </c>
      <c r="B68" s="10">
        <v>1.5</v>
      </c>
      <c r="C68" s="6">
        <v>-6.7836999999999995E-2</v>
      </c>
      <c r="D68" s="6">
        <v>0.71017600000000003</v>
      </c>
      <c r="E68" s="6">
        <v>1.503199</v>
      </c>
      <c r="F68" s="6">
        <v>1.740969</v>
      </c>
      <c r="G68" s="10">
        <v>9.6</v>
      </c>
      <c r="H68" s="10">
        <v>0</v>
      </c>
      <c r="I68" s="10">
        <v>5</v>
      </c>
      <c r="J68" s="10">
        <v>671.4</v>
      </c>
      <c r="K68" s="6">
        <v>0.51363300000000001</v>
      </c>
      <c r="L68" s="6">
        <v>0.50829299999999999</v>
      </c>
      <c r="M68" s="6">
        <v>0.98590299999999997</v>
      </c>
    </row>
    <row r="69" spans="1:13" x14ac:dyDescent="0.25">
      <c r="A69" t="s">
        <v>102</v>
      </c>
      <c r="B69" s="10">
        <v>2</v>
      </c>
      <c r="C69" s="6">
        <v>-6.7819000000000004E-2</v>
      </c>
      <c r="D69" s="6">
        <v>0.710121</v>
      </c>
      <c r="E69" s="6">
        <v>1.4886299999999999</v>
      </c>
      <c r="F69" s="6">
        <v>1.8383229999999999</v>
      </c>
      <c r="G69" s="10">
        <v>14</v>
      </c>
      <c r="H69" s="10">
        <v>0</v>
      </c>
      <c r="I69" s="10">
        <v>5</v>
      </c>
      <c r="J69" s="10">
        <v>667</v>
      </c>
      <c r="K69" s="6">
        <v>0.42029</v>
      </c>
      <c r="L69" s="6">
        <v>0.413526</v>
      </c>
      <c r="M69" s="6">
        <v>0.97944200000000003</v>
      </c>
    </row>
    <row r="70" spans="1:13" x14ac:dyDescent="0.25">
      <c r="A70" s="3" t="s">
        <v>114</v>
      </c>
      <c r="B70" s="11">
        <v>0</v>
      </c>
      <c r="C70" s="7">
        <v>-6.6845000000000002E-2</v>
      </c>
      <c r="D70" s="7">
        <v>0.69654899999999997</v>
      </c>
      <c r="E70" s="7">
        <v>2.713708</v>
      </c>
      <c r="F70" s="7">
        <v>6.7499000000000003E-2</v>
      </c>
      <c r="G70" s="11">
        <v>0.4</v>
      </c>
      <c r="H70" s="11">
        <v>5</v>
      </c>
      <c r="I70" s="11">
        <v>0</v>
      </c>
      <c r="J70" s="11">
        <v>680.6</v>
      </c>
      <c r="K70" s="7">
        <v>0</v>
      </c>
      <c r="L70" s="7">
        <v>-9.7400000000000004E-4</v>
      </c>
      <c r="M70" s="7">
        <v>0</v>
      </c>
    </row>
    <row r="71" spans="1:13" x14ac:dyDescent="0.25">
      <c r="A71" s="3" t="s">
        <v>114</v>
      </c>
      <c r="B71" s="11">
        <v>0.1</v>
      </c>
      <c r="C71" s="7">
        <v>-6.6905000000000006E-2</v>
      </c>
      <c r="D71" s="7">
        <v>0.70075299999999996</v>
      </c>
      <c r="E71" s="7">
        <v>2.626214</v>
      </c>
      <c r="F71" s="7">
        <v>6.8756999999999999E-2</v>
      </c>
      <c r="G71" s="11">
        <v>0.6</v>
      </c>
      <c r="H71" s="11">
        <v>4.8</v>
      </c>
      <c r="I71" s="11">
        <v>0.2</v>
      </c>
      <c r="J71" s="11">
        <v>680.4</v>
      </c>
      <c r="K71" s="7">
        <v>5.7142999999999999E-2</v>
      </c>
      <c r="L71" s="7">
        <v>5.5571000000000002E-2</v>
      </c>
      <c r="M71" s="7">
        <v>3.9705999999999998E-2</v>
      </c>
    </row>
    <row r="72" spans="1:13" x14ac:dyDescent="0.25">
      <c r="A72" s="3" t="s">
        <v>114</v>
      </c>
      <c r="B72" s="11">
        <v>0.2</v>
      </c>
      <c r="C72" s="7">
        <v>-6.8090999999999999E-2</v>
      </c>
      <c r="D72" s="7">
        <v>0.70031100000000002</v>
      </c>
      <c r="E72" s="7">
        <v>2.565029</v>
      </c>
      <c r="F72" s="7">
        <v>7.0865999999999998E-2</v>
      </c>
      <c r="G72" s="11">
        <v>0.6</v>
      </c>
      <c r="H72" s="11">
        <v>4.8</v>
      </c>
      <c r="I72" s="11">
        <v>0.2</v>
      </c>
      <c r="J72" s="11">
        <v>680.4</v>
      </c>
      <c r="K72" s="7">
        <v>5.7142999999999999E-2</v>
      </c>
      <c r="L72" s="7">
        <v>5.5571000000000002E-2</v>
      </c>
      <c r="M72" s="7">
        <v>3.9705999999999998E-2</v>
      </c>
    </row>
    <row r="73" spans="1:13" x14ac:dyDescent="0.25">
      <c r="A73" s="3" t="s">
        <v>114</v>
      </c>
      <c r="B73" s="11">
        <v>0.3</v>
      </c>
      <c r="C73" s="7">
        <v>-5.3175E-2</v>
      </c>
      <c r="D73" s="7">
        <v>0.70574499999999996</v>
      </c>
      <c r="E73" s="7">
        <v>2.4841769999999999</v>
      </c>
      <c r="F73" s="7">
        <v>7.3072999999999999E-2</v>
      </c>
      <c r="G73" s="11">
        <v>0.6</v>
      </c>
      <c r="H73" s="11">
        <v>4.5999999999999996</v>
      </c>
      <c r="I73" s="11">
        <v>0.4</v>
      </c>
      <c r="J73" s="11">
        <v>680.4</v>
      </c>
      <c r="K73" s="7">
        <v>0.1</v>
      </c>
      <c r="L73" s="7">
        <v>9.8475999999999994E-2</v>
      </c>
      <c r="M73" s="7">
        <v>7.9705999999999999E-2</v>
      </c>
    </row>
    <row r="74" spans="1:13" x14ac:dyDescent="0.25">
      <c r="A74" s="3" t="s">
        <v>114</v>
      </c>
      <c r="B74" s="11">
        <v>0.4</v>
      </c>
      <c r="C74" s="7">
        <v>-4.8115999999999999E-2</v>
      </c>
      <c r="D74" s="7">
        <v>0.70578600000000002</v>
      </c>
      <c r="E74" s="7">
        <v>2.3992990000000001</v>
      </c>
      <c r="F74" s="7">
        <v>7.6249999999999998E-2</v>
      </c>
      <c r="G74" s="11">
        <v>0.6</v>
      </c>
      <c r="H74" s="11">
        <v>4.2</v>
      </c>
      <c r="I74" s="11">
        <v>0.8</v>
      </c>
      <c r="J74" s="11">
        <v>680.4</v>
      </c>
      <c r="K74" s="7">
        <v>0.2</v>
      </c>
      <c r="L74" s="7">
        <v>0.19841400000000001</v>
      </c>
      <c r="M74" s="7">
        <v>0.159413</v>
      </c>
    </row>
    <row r="75" spans="1:13" x14ac:dyDescent="0.25">
      <c r="A75" s="3" t="s">
        <v>114</v>
      </c>
      <c r="B75" s="11">
        <v>0.5</v>
      </c>
      <c r="C75" s="7">
        <v>-1.5592E-2</v>
      </c>
      <c r="D75" s="7">
        <v>0.70005099999999998</v>
      </c>
      <c r="E75" s="7">
        <v>2.3537539999999999</v>
      </c>
      <c r="F75" s="7">
        <v>8.1688999999999998E-2</v>
      </c>
      <c r="G75" s="11">
        <v>0.8</v>
      </c>
      <c r="H75" s="11">
        <v>4</v>
      </c>
      <c r="I75" s="11">
        <v>1</v>
      </c>
      <c r="J75" s="11">
        <v>680.2</v>
      </c>
      <c r="K75" s="7">
        <v>0.25714300000000001</v>
      </c>
      <c r="L75" s="7">
        <v>0.25495899999999999</v>
      </c>
      <c r="M75" s="7">
        <v>0.19911899999999999</v>
      </c>
    </row>
    <row r="76" spans="1:13" x14ac:dyDescent="0.25">
      <c r="A76" s="3" t="s">
        <v>114</v>
      </c>
      <c r="B76" s="11">
        <v>0.6</v>
      </c>
      <c r="C76" s="7">
        <v>-1.7512E-2</v>
      </c>
      <c r="D76" s="7">
        <v>0.70756600000000003</v>
      </c>
      <c r="E76" s="7">
        <v>2.1959819999999999</v>
      </c>
      <c r="F76" s="7">
        <v>8.4745000000000001E-2</v>
      </c>
      <c r="G76" s="11">
        <v>0.8</v>
      </c>
      <c r="H76" s="11">
        <v>3.6</v>
      </c>
      <c r="I76" s="11">
        <v>1.4</v>
      </c>
      <c r="J76" s="11">
        <v>680.2</v>
      </c>
      <c r="K76" s="7">
        <v>0.35714299999999999</v>
      </c>
      <c r="L76" s="7">
        <v>0.35489599999999999</v>
      </c>
      <c r="M76" s="7">
        <v>0.27882499999999999</v>
      </c>
    </row>
    <row r="77" spans="1:13" x14ac:dyDescent="0.25">
      <c r="A77" s="3" t="s">
        <v>114</v>
      </c>
      <c r="B77" s="11">
        <v>0.7</v>
      </c>
      <c r="C77" s="7">
        <v>3.2239999999999999E-3</v>
      </c>
      <c r="D77" s="7">
        <v>0.70364499999999996</v>
      </c>
      <c r="E77" s="7">
        <v>2.0751650000000001</v>
      </c>
      <c r="F77" s="7">
        <v>9.3199000000000004E-2</v>
      </c>
      <c r="G77" s="11">
        <v>1</v>
      </c>
      <c r="H77" s="11">
        <v>3.4</v>
      </c>
      <c r="I77" s="11">
        <v>1.6</v>
      </c>
      <c r="J77" s="11">
        <v>680</v>
      </c>
      <c r="K77" s="7">
        <v>0.4</v>
      </c>
      <c r="L77" s="7">
        <v>0.397314</v>
      </c>
      <c r="M77" s="7">
        <v>0.31882500000000003</v>
      </c>
    </row>
    <row r="78" spans="1:13" x14ac:dyDescent="0.25">
      <c r="A78" s="3" t="s">
        <v>114</v>
      </c>
      <c r="B78" s="11">
        <v>0.8</v>
      </c>
      <c r="C78" s="7">
        <v>-2.5179999999999998E-3</v>
      </c>
      <c r="D78" s="7">
        <v>0.70223599999999997</v>
      </c>
      <c r="E78" s="7">
        <v>1.930056</v>
      </c>
      <c r="F78" s="7">
        <v>0.105714</v>
      </c>
      <c r="G78" s="11">
        <v>1</v>
      </c>
      <c r="H78" s="11">
        <v>1.8</v>
      </c>
      <c r="I78" s="11">
        <v>3.2</v>
      </c>
      <c r="J78" s="11">
        <v>680</v>
      </c>
      <c r="K78" s="7">
        <v>0.68666700000000003</v>
      </c>
      <c r="L78" s="7">
        <v>0.68466000000000005</v>
      </c>
      <c r="M78" s="7">
        <v>0.63853199999999999</v>
      </c>
    </row>
    <row r="79" spans="1:13" x14ac:dyDescent="0.25">
      <c r="A79" s="5" t="s">
        <v>114</v>
      </c>
      <c r="B79" s="12">
        <v>0.9</v>
      </c>
      <c r="C79" s="8">
        <v>3.4229999999999997E-2</v>
      </c>
      <c r="D79" s="8">
        <v>0.73980100000000004</v>
      </c>
      <c r="E79" s="8">
        <v>1.7755909999999999</v>
      </c>
      <c r="F79" s="8">
        <v>0.13003300000000001</v>
      </c>
      <c r="G79" s="12">
        <v>2.4</v>
      </c>
      <c r="H79" s="12">
        <v>1</v>
      </c>
      <c r="I79" s="12">
        <v>4</v>
      </c>
      <c r="J79" s="12">
        <v>678.6</v>
      </c>
      <c r="K79" s="8">
        <v>0.70303000000000004</v>
      </c>
      <c r="L79" s="8">
        <v>0.70057499999999995</v>
      </c>
      <c r="M79" s="8">
        <v>0.79647599999999996</v>
      </c>
    </row>
    <row r="80" spans="1:13" x14ac:dyDescent="0.25">
      <c r="A80" s="3" t="s">
        <v>114</v>
      </c>
      <c r="B80" s="11">
        <v>1</v>
      </c>
      <c r="C80" s="7">
        <v>-7.0849999999999996E-2</v>
      </c>
      <c r="D80" s="7">
        <v>0.75098600000000004</v>
      </c>
      <c r="E80" s="7">
        <v>1.510286</v>
      </c>
      <c r="F80" s="7">
        <v>0.294653</v>
      </c>
      <c r="G80" s="11">
        <v>8.8000000000000007</v>
      </c>
      <c r="H80" s="11">
        <v>1</v>
      </c>
      <c r="I80" s="11">
        <v>4</v>
      </c>
      <c r="J80" s="11">
        <v>672.2</v>
      </c>
      <c r="K80" s="7">
        <v>0.44967299999999999</v>
      </c>
      <c r="L80" s="7">
        <v>0.44384299999999999</v>
      </c>
      <c r="M80" s="7">
        <v>0.78707800000000006</v>
      </c>
    </row>
    <row r="81" spans="1:13" x14ac:dyDescent="0.25">
      <c r="A81" s="3" t="s">
        <v>114</v>
      </c>
      <c r="B81" s="11">
        <v>1.5</v>
      </c>
      <c r="C81" s="7">
        <v>-0.275895</v>
      </c>
      <c r="D81" s="7">
        <v>0.69522899999999999</v>
      </c>
      <c r="E81" s="7">
        <v>1.53281</v>
      </c>
      <c r="F81" s="7">
        <v>0.28865800000000003</v>
      </c>
      <c r="G81" s="11">
        <v>12.4</v>
      </c>
      <c r="H81" s="11">
        <v>0.2</v>
      </c>
      <c r="I81" s="11">
        <v>4.8</v>
      </c>
      <c r="J81" s="11">
        <v>668.6</v>
      </c>
      <c r="K81" s="7">
        <v>0.43192199999999997</v>
      </c>
      <c r="L81" s="7">
        <v>0.42543599999999998</v>
      </c>
      <c r="M81" s="7">
        <v>0.94179100000000004</v>
      </c>
    </row>
    <row r="82" spans="1:13" x14ac:dyDescent="0.25">
      <c r="A82" s="3" t="s">
        <v>114</v>
      </c>
      <c r="B82" s="11">
        <v>2</v>
      </c>
      <c r="C82" s="7">
        <v>-0.28800199999999998</v>
      </c>
      <c r="D82" s="7">
        <v>0.68739499999999998</v>
      </c>
      <c r="E82" s="7">
        <v>1.5067390000000001</v>
      </c>
      <c r="F82" s="7">
        <v>0.29020600000000002</v>
      </c>
      <c r="G82" s="11">
        <v>13</v>
      </c>
      <c r="H82" s="11">
        <v>0</v>
      </c>
      <c r="I82" s="11">
        <v>5</v>
      </c>
      <c r="J82" s="11">
        <v>668</v>
      </c>
      <c r="K82" s="7">
        <v>0.43478299999999998</v>
      </c>
      <c r="L82" s="7">
        <v>0.42825999999999997</v>
      </c>
      <c r="M82" s="7">
        <v>0.98090999999999995</v>
      </c>
    </row>
    <row r="83" spans="1:13" x14ac:dyDescent="0.25">
      <c r="A83" s="4" t="s">
        <v>115</v>
      </c>
      <c r="B83" s="13">
        <v>0</v>
      </c>
      <c r="C83" s="9">
        <v>-6.0224E-2</v>
      </c>
      <c r="D83" s="9">
        <v>0.71130300000000002</v>
      </c>
      <c r="E83" s="9">
        <v>2.4422769999999998</v>
      </c>
      <c r="F83" s="9">
        <v>6.7013000000000003E-2</v>
      </c>
      <c r="G83" s="13">
        <v>1</v>
      </c>
      <c r="H83" s="13">
        <v>5</v>
      </c>
      <c r="I83" s="13">
        <v>0</v>
      </c>
      <c r="J83" s="13">
        <v>680</v>
      </c>
      <c r="K83" s="9">
        <v>0</v>
      </c>
      <c r="L83" s="9">
        <v>-2.4350000000000001E-3</v>
      </c>
      <c r="M83" s="9">
        <v>0</v>
      </c>
    </row>
    <row r="84" spans="1:13" x14ac:dyDescent="0.25">
      <c r="A84" s="4" t="s">
        <v>115</v>
      </c>
      <c r="B84" s="13">
        <v>0.1</v>
      </c>
      <c r="C84" s="9">
        <v>-6.0462000000000002E-2</v>
      </c>
      <c r="D84" s="9">
        <v>0.71117900000000001</v>
      </c>
      <c r="E84" s="9">
        <v>2.380252</v>
      </c>
      <c r="F84" s="9">
        <v>6.8237000000000006E-2</v>
      </c>
      <c r="G84" s="13">
        <v>1</v>
      </c>
      <c r="H84" s="13">
        <v>4.8</v>
      </c>
      <c r="I84" s="13">
        <v>0.2</v>
      </c>
      <c r="J84" s="13">
        <v>680</v>
      </c>
      <c r="K84" s="9">
        <v>5.7142999999999999E-2</v>
      </c>
      <c r="L84" s="9">
        <v>5.4597E-2</v>
      </c>
      <c r="M84" s="9">
        <v>3.9705999999999998E-2</v>
      </c>
    </row>
    <row r="85" spans="1:13" x14ac:dyDescent="0.25">
      <c r="A85" s="4" t="s">
        <v>115</v>
      </c>
      <c r="B85" s="13">
        <v>0.2</v>
      </c>
      <c r="C85" s="9">
        <v>-6.0573000000000002E-2</v>
      </c>
      <c r="D85" s="9">
        <v>0.71161300000000005</v>
      </c>
      <c r="E85" s="9">
        <v>2.324465</v>
      </c>
      <c r="F85" s="9">
        <v>6.9362999999999994E-2</v>
      </c>
      <c r="G85" s="13">
        <v>1</v>
      </c>
      <c r="H85" s="13">
        <v>4.4000000000000004</v>
      </c>
      <c r="I85" s="13">
        <v>0.6</v>
      </c>
      <c r="J85" s="13">
        <v>680</v>
      </c>
      <c r="K85" s="9">
        <v>0.157143</v>
      </c>
      <c r="L85" s="9">
        <v>0.154534</v>
      </c>
      <c r="M85" s="9">
        <v>0.11941300000000001</v>
      </c>
    </row>
    <row r="86" spans="1:13" x14ac:dyDescent="0.25">
      <c r="A86" s="4" t="s">
        <v>115</v>
      </c>
      <c r="B86" s="13">
        <v>0.3</v>
      </c>
      <c r="C86" s="9">
        <v>-6.0839999999999998E-2</v>
      </c>
      <c r="D86" s="9">
        <v>0.711557</v>
      </c>
      <c r="E86" s="9">
        <v>2.2407910000000002</v>
      </c>
      <c r="F86" s="9">
        <v>7.0794999999999997E-2</v>
      </c>
      <c r="G86" s="13">
        <v>1</v>
      </c>
      <c r="H86" s="13">
        <v>3</v>
      </c>
      <c r="I86" s="13">
        <v>2</v>
      </c>
      <c r="J86" s="13">
        <v>680</v>
      </c>
      <c r="K86" s="9">
        <v>0.5</v>
      </c>
      <c r="L86" s="9">
        <v>0.49725200000000003</v>
      </c>
      <c r="M86" s="9">
        <v>0.398532</v>
      </c>
    </row>
    <row r="87" spans="1:13" x14ac:dyDescent="0.25">
      <c r="A87" s="4" t="s">
        <v>115</v>
      </c>
      <c r="B87" s="13">
        <v>0.4</v>
      </c>
      <c r="C87" s="9"/>
      <c r="D87" s="9"/>
      <c r="E87" s="9"/>
      <c r="F87" s="9"/>
      <c r="G87" s="13"/>
      <c r="H87" s="13"/>
      <c r="I87" s="13"/>
      <c r="J87" s="13"/>
      <c r="K87" s="9"/>
      <c r="L87" s="9"/>
      <c r="M87" s="9"/>
    </row>
    <row r="88" spans="1:13" x14ac:dyDescent="0.25">
      <c r="A88" s="4" t="s">
        <v>115</v>
      </c>
      <c r="B88" s="13">
        <v>0.5</v>
      </c>
      <c r="C88" s="9">
        <v>-3.0617999999999999E-2</v>
      </c>
      <c r="D88" s="9">
        <v>0.71913400000000005</v>
      </c>
      <c r="E88" s="9">
        <v>2.058046</v>
      </c>
      <c r="F88" s="9">
        <v>7.4526999999999996E-2</v>
      </c>
      <c r="G88" s="13">
        <v>1</v>
      </c>
      <c r="H88" s="13">
        <v>3</v>
      </c>
      <c r="I88" s="13">
        <v>2</v>
      </c>
      <c r="J88" s="13">
        <v>680</v>
      </c>
      <c r="K88" s="9">
        <v>0.5</v>
      </c>
      <c r="L88" s="9">
        <v>0.49725200000000003</v>
      </c>
      <c r="M88" s="9">
        <v>0.398532</v>
      </c>
    </row>
    <row r="89" spans="1:13" x14ac:dyDescent="0.25">
      <c r="A89" s="4" t="s">
        <v>115</v>
      </c>
      <c r="B89" s="13">
        <v>0.6</v>
      </c>
      <c r="C89" s="9">
        <v>-1.598E-3</v>
      </c>
      <c r="D89" s="9">
        <v>0.72587000000000002</v>
      </c>
      <c r="E89" s="9">
        <v>1.91994</v>
      </c>
      <c r="F89" s="9">
        <v>7.8601000000000004E-2</v>
      </c>
      <c r="G89" s="13">
        <v>1</v>
      </c>
      <c r="H89" s="13">
        <v>1.6</v>
      </c>
      <c r="I89" s="13">
        <v>3.4</v>
      </c>
      <c r="J89" s="13">
        <v>680</v>
      </c>
      <c r="K89" s="9">
        <v>0.72</v>
      </c>
      <c r="L89" s="9">
        <v>0.71810799999999997</v>
      </c>
      <c r="M89" s="9">
        <v>0.67853200000000002</v>
      </c>
    </row>
    <row r="90" spans="1:13" x14ac:dyDescent="0.25">
      <c r="A90" s="5" t="s">
        <v>115</v>
      </c>
      <c r="B90" s="12">
        <v>0.7</v>
      </c>
      <c r="C90" s="8">
        <v>0.15667700000000001</v>
      </c>
      <c r="D90" s="8">
        <v>0.75806099999999998</v>
      </c>
      <c r="E90" s="8">
        <v>1.793013</v>
      </c>
      <c r="F90" s="8">
        <v>8.5482000000000002E-2</v>
      </c>
      <c r="G90" s="12">
        <v>1</v>
      </c>
      <c r="H90" s="12">
        <v>1</v>
      </c>
      <c r="I90" s="12">
        <v>4</v>
      </c>
      <c r="J90" s="12">
        <v>680</v>
      </c>
      <c r="K90" s="8">
        <v>0.8</v>
      </c>
      <c r="L90" s="8">
        <v>0.79853200000000002</v>
      </c>
      <c r="M90" s="8">
        <v>0.79853200000000002</v>
      </c>
    </row>
    <row r="91" spans="1:13" x14ac:dyDescent="0.25">
      <c r="A91" s="4" t="s">
        <v>115</v>
      </c>
      <c r="B91" s="13">
        <v>0.8</v>
      </c>
      <c r="C91" s="9">
        <v>0.16292999999999999</v>
      </c>
      <c r="D91" s="9">
        <v>0.75848800000000005</v>
      </c>
      <c r="E91" s="9">
        <v>1.702421</v>
      </c>
      <c r="F91" s="9">
        <v>9.1106999999999994E-2</v>
      </c>
      <c r="G91" s="13">
        <v>2</v>
      </c>
      <c r="H91" s="13">
        <v>1</v>
      </c>
      <c r="I91" s="13">
        <v>4</v>
      </c>
      <c r="J91" s="13">
        <v>679</v>
      </c>
      <c r="K91" s="9">
        <v>0.72727299999999995</v>
      </c>
      <c r="L91" s="9">
        <v>0.72508700000000004</v>
      </c>
      <c r="M91" s="9">
        <v>0.79706299999999997</v>
      </c>
    </row>
    <row r="92" spans="1:13" x14ac:dyDescent="0.25">
      <c r="A92" s="4" t="s">
        <v>115</v>
      </c>
      <c r="B92" s="13">
        <v>0.9</v>
      </c>
      <c r="C92" s="9">
        <v>6.4716999999999997E-2</v>
      </c>
      <c r="D92" s="9">
        <v>0.73647099999999999</v>
      </c>
      <c r="E92" s="9">
        <v>1.6578839999999999</v>
      </c>
      <c r="F92" s="9">
        <v>0.104093</v>
      </c>
      <c r="G92" s="13">
        <v>3.8</v>
      </c>
      <c r="H92" s="13">
        <v>1</v>
      </c>
      <c r="I92" s="13">
        <v>4</v>
      </c>
      <c r="J92" s="13">
        <v>677.2</v>
      </c>
      <c r="K92" s="9">
        <v>0.625641</v>
      </c>
      <c r="L92" s="9">
        <v>0.62228399999999995</v>
      </c>
      <c r="M92" s="9">
        <v>0.79442000000000002</v>
      </c>
    </row>
    <row r="93" spans="1:13" x14ac:dyDescent="0.25">
      <c r="A93" s="4" t="s">
        <v>115</v>
      </c>
      <c r="B93" s="13">
        <v>1</v>
      </c>
      <c r="C93" s="9"/>
      <c r="D93" s="9"/>
      <c r="E93" s="9"/>
      <c r="F93" s="9"/>
      <c r="G93" s="13"/>
      <c r="H93" s="13"/>
      <c r="I93" s="13"/>
      <c r="J93" s="13"/>
      <c r="K93" s="9"/>
      <c r="L93" s="9"/>
      <c r="M93" s="9"/>
    </row>
    <row r="94" spans="1:13" x14ac:dyDescent="0.25">
      <c r="A94" s="4" t="s">
        <v>115</v>
      </c>
      <c r="B94" s="13">
        <v>1.5</v>
      </c>
      <c r="C94" s="9"/>
      <c r="D94" s="9"/>
      <c r="E94" s="9"/>
      <c r="F94" s="9"/>
      <c r="G94" s="13"/>
      <c r="H94" s="13"/>
      <c r="I94" s="13"/>
      <c r="J94" s="13"/>
      <c r="K94" s="9"/>
      <c r="L94" s="9"/>
      <c r="M94" s="9"/>
    </row>
    <row r="95" spans="1:13" x14ac:dyDescent="0.25">
      <c r="A95" s="4" t="s">
        <v>115</v>
      </c>
      <c r="B95" s="13">
        <v>2</v>
      </c>
      <c r="C95" s="9"/>
      <c r="D95" s="9"/>
      <c r="E95" s="9"/>
      <c r="F95" s="9"/>
      <c r="G95" s="13"/>
      <c r="H95" s="13"/>
      <c r="I95" s="13"/>
      <c r="J95" s="13"/>
      <c r="K95" s="9"/>
      <c r="L95" s="9"/>
      <c r="M95" s="9"/>
    </row>
    <row r="96" spans="1:13" x14ac:dyDescent="0.25">
      <c r="A96" t="s">
        <v>116</v>
      </c>
      <c r="B96" s="10">
        <v>0</v>
      </c>
      <c r="C96" s="6">
        <v>-6.4351000000000005E-2</v>
      </c>
      <c r="D96" s="6">
        <v>0.71225099999999997</v>
      </c>
      <c r="E96" s="6">
        <v>2.4283860000000002</v>
      </c>
      <c r="F96" s="6">
        <v>6.6696000000000005E-2</v>
      </c>
      <c r="G96" s="10">
        <v>1</v>
      </c>
      <c r="H96" s="10">
        <v>5</v>
      </c>
      <c r="I96" s="10">
        <v>0</v>
      </c>
      <c r="J96" s="10">
        <v>680</v>
      </c>
      <c r="K96" s="6">
        <v>0</v>
      </c>
      <c r="L96" s="6">
        <v>-2.4350000000000001E-3</v>
      </c>
      <c r="M96" s="6">
        <v>0</v>
      </c>
    </row>
    <row r="97" spans="1:13" x14ac:dyDescent="0.25">
      <c r="A97" t="s">
        <v>116</v>
      </c>
      <c r="B97" s="10">
        <v>0.1</v>
      </c>
      <c r="C97" s="6">
        <v>-6.4408999999999994E-2</v>
      </c>
      <c r="D97" s="6">
        <v>0.71223700000000001</v>
      </c>
      <c r="E97" s="6">
        <v>2.3692850000000001</v>
      </c>
      <c r="F97" s="6">
        <v>6.7842E-2</v>
      </c>
      <c r="G97" s="10">
        <v>1</v>
      </c>
      <c r="H97" s="10">
        <v>4.8</v>
      </c>
      <c r="I97" s="10">
        <v>0.2</v>
      </c>
      <c r="J97" s="10">
        <v>680</v>
      </c>
      <c r="K97" s="6">
        <v>5.7142999999999999E-2</v>
      </c>
      <c r="L97" s="6">
        <v>5.4597E-2</v>
      </c>
      <c r="M97" s="6">
        <v>3.9705999999999998E-2</v>
      </c>
    </row>
    <row r="98" spans="1:13" x14ac:dyDescent="0.25">
      <c r="A98" t="s">
        <v>116</v>
      </c>
      <c r="B98" s="10">
        <v>0.2</v>
      </c>
      <c r="C98" s="6">
        <v>-6.4532999999999993E-2</v>
      </c>
      <c r="D98" s="6">
        <v>0.712341</v>
      </c>
      <c r="E98" s="6">
        <v>2.3004850000000001</v>
      </c>
      <c r="F98" s="6">
        <v>6.9107000000000002E-2</v>
      </c>
      <c r="G98" s="10">
        <v>1</v>
      </c>
      <c r="H98" s="10">
        <v>3.6</v>
      </c>
      <c r="I98" s="10">
        <v>1.4</v>
      </c>
      <c r="J98" s="10">
        <v>680</v>
      </c>
      <c r="K98" s="6">
        <v>0.37142900000000001</v>
      </c>
      <c r="L98" s="6">
        <v>0.368537</v>
      </c>
      <c r="M98" s="6">
        <v>0.278532</v>
      </c>
    </row>
    <row r="99" spans="1:13" x14ac:dyDescent="0.25">
      <c r="A99" t="s">
        <v>116</v>
      </c>
      <c r="B99" s="10">
        <v>0.3</v>
      </c>
      <c r="C99" s="6">
        <v>-6.4727000000000007E-2</v>
      </c>
      <c r="D99" s="6">
        <v>0.71248400000000001</v>
      </c>
      <c r="E99" s="6">
        <v>2.2298140000000002</v>
      </c>
      <c r="F99" s="6">
        <v>7.0359000000000005E-2</v>
      </c>
      <c r="G99" s="10">
        <v>1</v>
      </c>
      <c r="H99" s="10">
        <v>3</v>
      </c>
      <c r="I99" s="10">
        <v>2</v>
      </c>
      <c r="J99" s="10">
        <v>680</v>
      </c>
      <c r="K99" s="6">
        <v>0.5</v>
      </c>
      <c r="L99" s="6">
        <v>0.49725200000000003</v>
      </c>
      <c r="M99" s="6">
        <v>0.398532</v>
      </c>
    </row>
    <row r="100" spans="1:13" x14ac:dyDescent="0.25">
      <c r="A100" t="s">
        <v>116</v>
      </c>
      <c r="B100" s="10">
        <v>0.4</v>
      </c>
      <c r="C100" s="6">
        <v>-5.9594000000000001E-2</v>
      </c>
      <c r="D100" s="6">
        <v>0.71360800000000002</v>
      </c>
      <c r="E100" s="6">
        <v>2.1560299999999999</v>
      </c>
      <c r="F100" s="6">
        <v>7.1725999999999998E-2</v>
      </c>
      <c r="G100" s="10">
        <v>1</v>
      </c>
      <c r="H100" s="10">
        <v>3</v>
      </c>
      <c r="I100" s="10">
        <v>2</v>
      </c>
      <c r="J100" s="10">
        <v>680</v>
      </c>
      <c r="K100" s="6">
        <v>0.5</v>
      </c>
      <c r="L100" s="6">
        <v>0.49725200000000003</v>
      </c>
      <c r="M100" s="6">
        <v>0.398532</v>
      </c>
    </row>
    <row r="101" spans="1:13" x14ac:dyDescent="0.25">
      <c r="A101" t="s">
        <v>116</v>
      </c>
      <c r="B101" s="10">
        <v>0.5</v>
      </c>
      <c r="C101" s="6">
        <v>-3.6932E-2</v>
      </c>
      <c r="D101" s="6">
        <v>0.71961399999999998</v>
      </c>
      <c r="E101" s="6">
        <v>2.0538970000000001</v>
      </c>
      <c r="F101" s="6">
        <v>7.4031E-2</v>
      </c>
      <c r="G101" s="10">
        <v>1</v>
      </c>
      <c r="H101" s="10">
        <v>3</v>
      </c>
      <c r="I101" s="10">
        <v>2</v>
      </c>
      <c r="J101" s="10">
        <v>680</v>
      </c>
      <c r="K101" s="6">
        <v>0.5</v>
      </c>
      <c r="L101" s="6">
        <v>0.49725200000000003</v>
      </c>
      <c r="M101" s="6">
        <v>0.398532</v>
      </c>
    </row>
    <row r="102" spans="1:13" x14ac:dyDescent="0.25">
      <c r="A102" s="5" t="s">
        <v>116</v>
      </c>
      <c r="B102" s="12">
        <v>0.6</v>
      </c>
      <c r="C102" s="8">
        <v>8.0545000000000005E-2</v>
      </c>
      <c r="D102" s="8">
        <v>0.74654699999999996</v>
      </c>
      <c r="E102" s="8">
        <v>1.892163</v>
      </c>
      <c r="F102" s="8">
        <v>8.0107999999999999E-2</v>
      </c>
      <c r="G102" s="12">
        <v>1</v>
      </c>
      <c r="H102" s="12">
        <v>1</v>
      </c>
      <c r="I102" s="12">
        <v>4</v>
      </c>
      <c r="J102" s="12">
        <v>680</v>
      </c>
      <c r="K102" s="8">
        <v>0.8</v>
      </c>
      <c r="L102" s="8">
        <v>0.79853200000000002</v>
      </c>
      <c r="M102" s="8">
        <v>0.79853200000000002</v>
      </c>
    </row>
    <row r="103" spans="1:13" x14ac:dyDescent="0.25">
      <c r="A103" s="5" t="s">
        <v>116</v>
      </c>
      <c r="B103" s="12">
        <v>0.7</v>
      </c>
      <c r="C103" s="8">
        <v>0.16183400000000001</v>
      </c>
      <c r="D103" s="8">
        <v>0.76155099999999998</v>
      </c>
      <c r="E103" s="8">
        <v>1.7878689999999999</v>
      </c>
      <c r="F103" s="8">
        <v>8.5031999999999996E-2</v>
      </c>
      <c r="G103" s="12">
        <v>1</v>
      </c>
      <c r="H103" s="12">
        <v>1</v>
      </c>
      <c r="I103" s="12">
        <v>4</v>
      </c>
      <c r="J103" s="12">
        <v>680</v>
      </c>
      <c r="K103" s="8">
        <v>0.8</v>
      </c>
      <c r="L103" s="8">
        <v>0.79853200000000002</v>
      </c>
      <c r="M103" s="8">
        <v>0.79853200000000002</v>
      </c>
    </row>
    <row r="104" spans="1:13" x14ac:dyDescent="0.25">
      <c r="A104" t="s">
        <v>116</v>
      </c>
      <c r="B104" s="10">
        <v>0.8</v>
      </c>
      <c r="C104" s="6">
        <v>0.158583</v>
      </c>
      <c r="D104" s="6">
        <v>0.76034900000000005</v>
      </c>
      <c r="E104" s="6">
        <v>1.70014</v>
      </c>
      <c r="F104" s="6">
        <v>9.0665999999999997E-2</v>
      </c>
      <c r="G104" s="10">
        <v>2</v>
      </c>
      <c r="H104" s="10">
        <v>1</v>
      </c>
      <c r="I104" s="10">
        <v>4</v>
      </c>
      <c r="J104" s="10">
        <v>679</v>
      </c>
      <c r="K104" s="6">
        <v>0.72727299999999995</v>
      </c>
      <c r="L104" s="6">
        <v>0.72508700000000004</v>
      </c>
      <c r="M104" s="6">
        <v>0.79706299999999997</v>
      </c>
    </row>
    <row r="105" spans="1:13" x14ac:dyDescent="0.25">
      <c r="A105" t="s">
        <v>116</v>
      </c>
      <c r="B105" s="10">
        <v>0.9</v>
      </c>
      <c r="C105" s="6">
        <v>6.5767000000000006E-2</v>
      </c>
      <c r="D105" s="6">
        <v>0.73933499999999996</v>
      </c>
      <c r="E105" s="6">
        <v>1.649305</v>
      </c>
      <c r="F105" s="6">
        <v>0.10402</v>
      </c>
      <c r="G105" s="10">
        <v>3.6</v>
      </c>
      <c r="H105" s="10">
        <v>1</v>
      </c>
      <c r="I105" s="10">
        <v>4</v>
      </c>
      <c r="J105" s="10">
        <v>677.4</v>
      </c>
      <c r="K105" s="6">
        <v>0.63589700000000005</v>
      </c>
      <c r="L105" s="6">
        <v>0.63266500000000003</v>
      </c>
      <c r="M105" s="6">
        <v>0.79471400000000003</v>
      </c>
    </row>
    <row r="106" spans="1:13" x14ac:dyDescent="0.25">
      <c r="A106" t="s">
        <v>116</v>
      </c>
      <c r="B106" s="10">
        <v>1</v>
      </c>
      <c r="C106" s="6">
        <v>6.4468999999999999E-2</v>
      </c>
      <c r="D106" s="6">
        <v>0.73367300000000002</v>
      </c>
      <c r="E106" s="6">
        <v>1.5219990000000001</v>
      </c>
      <c r="F106" s="6">
        <v>0.28967999999999999</v>
      </c>
      <c r="G106" s="10">
        <v>4</v>
      </c>
      <c r="H106" s="10">
        <v>1</v>
      </c>
      <c r="I106" s="10">
        <v>4</v>
      </c>
      <c r="J106" s="10">
        <v>677</v>
      </c>
      <c r="K106" s="6">
        <v>0.61538499999999996</v>
      </c>
      <c r="L106" s="6">
        <v>0.61190299999999997</v>
      </c>
      <c r="M106" s="6">
        <v>0.794126</v>
      </c>
    </row>
    <row r="107" spans="1:13" x14ac:dyDescent="0.25">
      <c r="A107" t="s">
        <v>116</v>
      </c>
      <c r="B107" s="10">
        <v>1.5</v>
      </c>
      <c r="C107" s="6">
        <v>7.2364999999999999E-2</v>
      </c>
      <c r="D107" s="6">
        <v>0.73010699999999995</v>
      </c>
      <c r="E107" s="6">
        <v>1.4809110000000001</v>
      </c>
      <c r="F107" s="6">
        <v>0.2863</v>
      </c>
      <c r="G107" s="10">
        <v>4</v>
      </c>
      <c r="H107" s="10">
        <v>1</v>
      </c>
      <c r="I107" s="10">
        <v>4</v>
      </c>
      <c r="J107" s="10">
        <v>677</v>
      </c>
      <c r="K107" s="6">
        <v>0.61538499999999996</v>
      </c>
      <c r="L107" s="6">
        <v>0.61190299999999997</v>
      </c>
      <c r="M107" s="6">
        <v>0.794126</v>
      </c>
    </row>
    <row r="108" spans="1:13" x14ac:dyDescent="0.25">
      <c r="A108" t="s">
        <v>116</v>
      </c>
      <c r="B108" s="10">
        <v>2</v>
      </c>
      <c r="C108" s="6">
        <v>6.1094000000000002E-2</v>
      </c>
      <c r="D108" s="6">
        <v>0.73071699999999995</v>
      </c>
      <c r="E108" s="6">
        <v>1.481994</v>
      </c>
      <c r="F108" s="6">
        <v>0.30042600000000003</v>
      </c>
      <c r="G108" s="10">
        <v>4</v>
      </c>
      <c r="H108" s="10">
        <v>1</v>
      </c>
      <c r="I108" s="10">
        <v>4</v>
      </c>
      <c r="J108" s="10">
        <v>677</v>
      </c>
      <c r="K108" s="6">
        <v>0.61538499999999996</v>
      </c>
      <c r="L108" s="6">
        <v>0.61190299999999997</v>
      </c>
      <c r="M108" s="6">
        <v>0.794126</v>
      </c>
    </row>
    <row r="109" spans="1:13" x14ac:dyDescent="0.25">
      <c r="C109" s="6"/>
      <c r="D109" s="6"/>
      <c r="E109" s="6"/>
      <c r="F109" s="6"/>
      <c r="G109" s="10"/>
      <c r="H109" s="10"/>
      <c r="I109" s="10"/>
      <c r="J109" s="10"/>
      <c r="K109" s="6"/>
      <c r="L109" s="6"/>
      <c r="M109" s="6"/>
    </row>
    <row r="110" spans="1:13" x14ac:dyDescent="0.25">
      <c r="C110" s="6"/>
      <c r="D110" s="6"/>
      <c r="E110" s="6"/>
      <c r="F110" s="6"/>
      <c r="G110" s="10"/>
      <c r="H110" s="10"/>
      <c r="I110" s="10"/>
      <c r="J110" s="10"/>
      <c r="K110" s="6"/>
      <c r="L110" s="6"/>
      <c r="M110" s="6"/>
    </row>
    <row r="116" spans="1:2" x14ac:dyDescent="0.25">
      <c r="B116" t="s">
        <v>13</v>
      </c>
    </row>
    <row r="117" spans="1:2" x14ac:dyDescent="0.25">
      <c r="B117" t="s">
        <v>14</v>
      </c>
    </row>
    <row r="118" spans="1:2" x14ac:dyDescent="0.25">
      <c r="B118" t="s">
        <v>15</v>
      </c>
    </row>
    <row r="119" spans="1:2" x14ac:dyDescent="0.25">
      <c r="B119" t="s">
        <v>16</v>
      </c>
    </row>
    <row r="120" spans="1:2" x14ac:dyDescent="0.25">
      <c r="B120" t="s">
        <v>17</v>
      </c>
    </row>
    <row r="121" spans="1:2" x14ac:dyDescent="0.25">
      <c r="A121" t="s">
        <v>18</v>
      </c>
      <c r="B121" t="s">
        <v>19</v>
      </c>
    </row>
    <row r="122" spans="1:2" x14ac:dyDescent="0.25">
      <c r="A122" t="s">
        <v>3</v>
      </c>
      <c r="B122" t="s">
        <v>20</v>
      </c>
    </row>
    <row r="123" spans="1:2" x14ac:dyDescent="0.25">
      <c r="A123" t="s">
        <v>21</v>
      </c>
      <c r="B123" t="s">
        <v>22</v>
      </c>
    </row>
    <row r="124" spans="1:2" x14ac:dyDescent="0.25">
      <c r="A124" t="s">
        <v>23</v>
      </c>
      <c r="B124" t="s">
        <v>24</v>
      </c>
    </row>
    <row r="125" spans="1:2" x14ac:dyDescent="0.25">
      <c r="A125" t="s">
        <v>25</v>
      </c>
      <c r="B125" t="s">
        <v>26</v>
      </c>
    </row>
    <row r="126" spans="1:2" x14ac:dyDescent="0.25">
      <c r="A126" t="s">
        <v>27</v>
      </c>
      <c r="B126" t="s">
        <v>28</v>
      </c>
    </row>
    <row r="127" spans="1:2" x14ac:dyDescent="0.25">
      <c r="A127" t="s">
        <v>8</v>
      </c>
      <c r="B127" t="s">
        <v>29</v>
      </c>
    </row>
    <row r="128" spans="1:2" x14ac:dyDescent="0.25">
      <c r="A128" t="s">
        <v>9</v>
      </c>
      <c r="B128" t="s">
        <v>30</v>
      </c>
    </row>
    <row r="129" spans="1:2" x14ac:dyDescent="0.25">
      <c r="A129" t="s">
        <v>10</v>
      </c>
      <c r="B129" t="s">
        <v>31</v>
      </c>
    </row>
    <row r="131" spans="1:2" x14ac:dyDescent="0.25">
      <c r="A131" t="s">
        <v>32</v>
      </c>
      <c r="B131" t="s">
        <v>33</v>
      </c>
    </row>
    <row r="132" spans="1:2" x14ac:dyDescent="0.25">
      <c r="A132" t="s">
        <v>34</v>
      </c>
      <c r="B132" t="s">
        <v>35</v>
      </c>
    </row>
    <row r="133" spans="1:2" x14ac:dyDescent="0.25">
      <c r="A133" t="s">
        <v>36</v>
      </c>
      <c r="B133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75DA-3C4B-4283-9024-19397AF84874}">
  <dimension ref="L2:AU17"/>
  <sheetViews>
    <sheetView zoomScale="115" zoomScaleNormal="115" workbookViewId="0"/>
  </sheetViews>
  <sheetFormatPr defaultRowHeight="15" x14ac:dyDescent="0.25"/>
  <cols>
    <col min="16" max="17" width="16.42578125" bestFit="1" customWidth="1"/>
  </cols>
  <sheetData>
    <row r="2" spans="12:47" x14ac:dyDescent="0.25"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V2" t="s">
        <v>75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88</v>
      </c>
      <c r="AC2" t="s">
        <v>38</v>
      </c>
      <c r="AD2" t="s">
        <v>50</v>
      </c>
      <c r="AE2" t="s">
        <v>39</v>
      </c>
      <c r="AF2" t="s">
        <v>91</v>
      </c>
      <c r="AG2" t="s">
        <v>96</v>
      </c>
      <c r="AH2" t="s">
        <v>97</v>
      </c>
      <c r="AI2" t="s">
        <v>94</v>
      </c>
      <c r="AJ2" t="s">
        <v>95</v>
      </c>
      <c r="AK2" t="s">
        <v>76</v>
      </c>
      <c r="AL2" t="s">
        <v>86</v>
      </c>
      <c r="AM2" t="s">
        <v>89</v>
      </c>
      <c r="AN2" t="s">
        <v>87</v>
      </c>
      <c r="AO2" t="s">
        <v>82</v>
      </c>
      <c r="AP2" t="s">
        <v>83</v>
      </c>
      <c r="AQ2" t="s">
        <v>84</v>
      </c>
      <c r="AR2" t="s">
        <v>85</v>
      </c>
      <c r="AS2" t="s">
        <v>98</v>
      </c>
      <c r="AT2" t="s">
        <v>92</v>
      </c>
      <c r="AU2" t="s">
        <v>93</v>
      </c>
    </row>
    <row r="4" spans="12:47" x14ac:dyDescent="0.25">
      <c r="L4" t="s">
        <v>40</v>
      </c>
    </row>
    <row r="5" spans="12:47" x14ac:dyDescent="0.25">
      <c r="M5" t="s">
        <v>41</v>
      </c>
    </row>
    <row r="6" spans="12:47" x14ac:dyDescent="0.25">
      <c r="M6" t="s">
        <v>44</v>
      </c>
      <c r="P6" s="2"/>
      <c r="Q6" s="2"/>
      <c r="AM6" s="1"/>
    </row>
    <row r="7" spans="12:47" x14ac:dyDescent="0.25">
      <c r="P7" s="2"/>
      <c r="Q7" s="2"/>
      <c r="AJ7" s="1"/>
    </row>
    <row r="8" spans="12:47" x14ac:dyDescent="0.25">
      <c r="M8" t="s">
        <v>42</v>
      </c>
    </row>
    <row r="9" spans="12:47" x14ac:dyDescent="0.25">
      <c r="M9" t="s">
        <v>45</v>
      </c>
      <c r="P9" s="2"/>
      <c r="Q9" s="2"/>
      <c r="AM9" s="1"/>
    </row>
    <row r="10" spans="12:47" x14ac:dyDescent="0.25">
      <c r="P10" s="2"/>
      <c r="Q10" s="2"/>
      <c r="AM10" s="1"/>
    </row>
    <row r="11" spans="12:47" x14ac:dyDescent="0.25">
      <c r="P11" s="2"/>
      <c r="Q11" s="2"/>
      <c r="AM11" s="1"/>
    </row>
    <row r="12" spans="12:47" x14ac:dyDescent="0.25">
      <c r="L12" t="s">
        <v>5</v>
      </c>
    </row>
    <row r="13" spans="12:47" x14ac:dyDescent="0.25">
      <c r="M13" t="s">
        <v>46</v>
      </c>
      <c r="P13" s="2"/>
      <c r="Q13" s="2"/>
      <c r="AM13" s="1"/>
    </row>
    <row r="14" spans="12:47" x14ac:dyDescent="0.25">
      <c r="P14" s="2"/>
      <c r="Q14" s="2"/>
      <c r="AM14" s="1"/>
    </row>
    <row r="16" spans="12:47" x14ac:dyDescent="0.25">
      <c r="L16" t="s">
        <v>43</v>
      </c>
    </row>
    <row r="17" spans="13:13" x14ac:dyDescent="0.25">
      <c r="M17" t="s">
        <v>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8D87-F7F9-46AA-B54D-05B19010E3D1}">
  <dimension ref="L2:AV20"/>
  <sheetViews>
    <sheetView zoomScaleNormal="100" workbookViewId="0">
      <selection activeCell="A6" sqref="A6"/>
    </sheetView>
  </sheetViews>
  <sheetFormatPr defaultRowHeight="15" x14ac:dyDescent="0.25"/>
  <cols>
    <col min="16" max="17" width="16.42578125" bestFit="1" customWidth="1"/>
    <col min="18" max="18" width="12.42578125" bestFit="1" customWidth="1"/>
  </cols>
  <sheetData>
    <row r="2" spans="12:48" x14ac:dyDescent="0.25"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V2" t="s">
        <v>75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88</v>
      </c>
      <c r="AC2" t="s">
        <v>38</v>
      </c>
      <c r="AD2" t="s">
        <v>50</v>
      </c>
      <c r="AE2" t="s">
        <v>39</v>
      </c>
      <c r="AF2" t="s">
        <v>91</v>
      </c>
      <c r="AG2" t="s">
        <v>96</v>
      </c>
      <c r="AH2" t="s">
        <v>97</v>
      </c>
      <c r="AI2" t="s">
        <v>94</v>
      </c>
      <c r="AJ2" t="s">
        <v>95</v>
      </c>
      <c r="AK2" t="s">
        <v>76</v>
      </c>
      <c r="AL2" t="s">
        <v>86</v>
      </c>
      <c r="AM2" t="s">
        <v>89</v>
      </c>
      <c r="AN2" t="s">
        <v>87</v>
      </c>
      <c r="AO2" t="s">
        <v>82</v>
      </c>
      <c r="AP2" t="s">
        <v>83</v>
      </c>
      <c r="AQ2" t="s">
        <v>84</v>
      </c>
      <c r="AR2" t="s">
        <v>85</v>
      </c>
      <c r="AS2" t="s">
        <v>98</v>
      </c>
      <c r="AT2" t="s">
        <v>92</v>
      </c>
      <c r="AU2" t="s">
        <v>93</v>
      </c>
      <c r="AV2" t="s">
        <v>99</v>
      </c>
    </row>
    <row r="4" spans="12:48" x14ac:dyDescent="0.25">
      <c r="L4" t="s">
        <v>40</v>
      </c>
    </row>
    <row r="5" spans="12:48" x14ac:dyDescent="0.25">
      <c r="M5" t="s">
        <v>41</v>
      </c>
    </row>
    <row r="6" spans="12:48" x14ac:dyDescent="0.25">
      <c r="M6" t="s">
        <v>44</v>
      </c>
      <c r="P6" s="2"/>
      <c r="Q6" s="2"/>
      <c r="AM6" s="1"/>
    </row>
    <row r="7" spans="12:48" x14ac:dyDescent="0.25">
      <c r="P7" s="2"/>
      <c r="Q7" s="2"/>
      <c r="AM7" s="1"/>
    </row>
    <row r="8" spans="12:48" x14ac:dyDescent="0.25">
      <c r="P8" s="2"/>
      <c r="Q8" s="2"/>
      <c r="AM8" s="1"/>
    </row>
    <row r="10" spans="12:48" x14ac:dyDescent="0.25">
      <c r="M10" t="s">
        <v>42</v>
      </c>
    </row>
    <row r="11" spans="12:48" x14ac:dyDescent="0.25">
      <c r="M11" t="s">
        <v>45</v>
      </c>
      <c r="P11" s="2"/>
      <c r="Q11" s="2"/>
      <c r="AM11" s="1"/>
    </row>
    <row r="12" spans="12:48" x14ac:dyDescent="0.25">
      <c r="P12" s="2"/>
      <c r="Q12" s="2"/>
      <c r="AM12" s="1"/>
    </row>
    <row r="13" spans="12:48" x14ac:dyDescent="0.25">
      <c r="P13" s="2"/>
      <c r="Q13" s="2"/>
      <c r="AM13" s="1"/>
    </row>
    <row r="14" spans="12:48" x14ac:dyDescent="0.25">
      <c r="P14" s="2"/>
      <c r="Q14" s="2"/>
      <c r="AM14" s="1"/>
    </row>
    <row r="15" spans="12:48" x14ac:dyDescent="0.25">
      <c r="L15" t="s">
        <v>5</v>
      </c>
      <c r="P15" s="2"/>
      <c r="Q15" s="2"/>
      <c r="AM15" s="1"/>
    </row>
    <row r="16" spans="12:48" x14ac:dyDescent="0.25">
      <c r="M16" t="s">
        <v>46</v>
      </c>
      <c r="P16" s="2"/>
      <c r="Q16" s="2"/>
      <c r="AM16" s="1"/>
    </row>
    <row r="19" spans="12:17" x14ac:dyDescent="0.25">
      <c r="L19" t="s">
        <v>43</v>
      </c>
      <c r="P19" s="2"/>
      <c r="Q19" s="2"/>
    </row>
    <row r="20" spans="12:17" x14ac:dyDescent="0.25">
      <c r="M2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1A94-C28D-4930-BBC7-BE4A45189F7B}">
  <dimension ref="L2:AN17"/>
  <sheetViews>
    <sheetView zoomScale="130" zoomScaleNormal="130" workbookViewId="0"/>
  </sheetViews>
  <sheetFormatPr defaultRowHeight="15" x14ac:dyDescent="0.25"/>
  <cols>
    <col min="16" max="17" width="16.42578125" bestFit="1" customWidth="1"/>
  </cols>
  <sheetData>
    <row r="2" spans="12:40" x14ac:dyDescent="0.25">
      <c r="N2" s="3"/>
    </row>
    <row r="4" spans="12:40" x14ac:dyDescent="0.25">
      <c r="L4" t="s">
        <v>40</v>
      </c>
    </row>
    <row r="5" spans="12:40" x14ac:dyDescent="0.25">
      <c r="M5" t="s">
        <v>41</v>
      </c>
    </row>
    <row r="6" spans="12:40" x14ac:dyDescent="0.25">
      <c r="M6" t="s">
        <v>44</v>
      </c>
      <c r="P6" s="2"/>
      <c r="Q6" s="2"/>
      <c r="AN6" s="1"/>
    </row>
    <row r="7" spans="12:40" x14ac:dyDescent="0.25">
      <c r="P7" s="2"/>
      <c r="Q7" s="2"/>
      <c r="AJ7" s="1"/>
    </row>
    <row r="8" spans="12:40" x14ac:dyDescent="0.25">
      <c r="M8" t="s">
        <v>42</v>
      </c>
    </row>
    <row r="9" spans="12:40" x14ac:dyDescent="0.25">
      <c r="M9" t="s">
        <v>45</v>
      </c>
      <c r="P9" s="2"/>
      <c r="Q9" s="2"/>
      <c r="AM9" s="1"/>
    </row>
    <row r="10" spans="12:40" x14ac:dyDescent="0.25">
      <c r="P10" s="2"/>
      <c r="Q10" s="2"/>
      <c r="AM10" s="1"/>
    </row>
    <row r="12" spans="12:40" x14ac:dyDescent="0.25">
      <c r="L12" t="s">
        <v>5</v>
      </c>
    </row>
    <row r="13" spans="12:40" x14ac:dyDescent="0.25">
      <c r="M13" t="s">
        <v>46</v>
      </c>
      <c r="P13" s="2"/>
      <c r="Q13" s="2"/>
      <c r="AM13" s="1"/>
    </row>
    <row r="14" spans="12:40" x14ac:dyDescent="0.25">
      <c r="P14" s="2"/>
      <c r="Q14" s="2"/>
      <c r="AN14" s="1"/>
    </row>
    <row r="16" spans="12:40" x14ac:dyDescent="0.25">
      <c r="L16" t="s">
        <v>43</v>
      </c>
    </row>
    <row r="17" spans="13:13" x14ac:dyDescent="0.25">
      <c r="M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3EA3-8B3D-4D0C-A1B6-1A18FE1B1D74}">
  <dimension ref="A1:AR116"/>
  <sheetViews>
    <sheetView topLeftCell="A40" workbookViewId="0">
      <selection activeCell="W78" sqref="W78"/>
    </sheetView>
  </sheetViews>
  <sheetFormatPr defaultRowHeight="15" x14ac:dyDescent="0.25"/>
  <cols>
    <col min="3" max="4" width="15.85546875" bestFit="1" customWidth="1"/>
  </cols>
  <sheetData>
    <row r="1" spans="1:39" x14ac:dyDescent="0.25">
      <c r="A1" t="s">
        <v>51</v>
      </c>
      <c r="C1" t="s">
        <v>64</v>
      </c>
    </row>
    <row r="2" spans="1:39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38</v>
      </c>
      <c r="Z2" t="s">
        <v>50</v>
      </c>
      <c r="AA2" t="s">
        <v>39</v>
      </c>
      <c r="AB2" t="s">
        <v>91</v>
      </c>
      <c r="AC2" t="s">
        <v>92</v>
      </c>
      <c r="AD2" t="s">
        <v>93</v>
      </c>
      <c r="AE2" t="s">
        <v>94</v>
      </c>
      <c r="AF2" t="s">
        <v>95</v>
      </c>
      <c r="AG2" t="s">
        <v>103</v>
      </c>
      <c r="AH2" t="s">
        <v>104</v>
      </c>
      <c r="AI2" t="s">
        <v>105</v>
      </c>
      <c r="AJ2" t="s">
        <v>106</v>
      </c>
      <c r="AK2" t="s">
        <v>107</v>
      </c>
      <c r="AL2" t="s">
        <v>108</v>
      </c>
      <c r="AM2" t="s">
        <v>109</v>
      </c>
    </row>
    <row r="3" spans="1:39" x14ac:dyDescent="0.25">
      <c r="A3">
        <v>0</v>
      </c>
      <c r="B3">
        <v>1</v>
      </c>
      <c r="C3" s="2">
        <v>40975.025000000001</v>
      </c>
      <c r="D3" s="2">
        <v>40975.01666666667</v>
      </c>
      <c r="E3">
        <v>2200</v>
      </c>
      <c r="F3">
        <v>50</v>
      </c>
      <c r="G3">
        <v>-60</v>
      </c>
      <c r="H3">
        <v>30</v>
      </c>
      <c r="I3">
        <v>-88.2</v>
      </c>
      <c r="J3">
        <v>40244400</v>
      </c>
      <c r="K3">
        <v>2379</v>
      </c>
      <c r="L3">
        <v>2594</v>
      </c>
      <c r="M3">
        <v>360</v>
      </c>
      <c r="N3">
        <v>57</v>
      </c>
      <c r="O3">
        <v>106</v>
      </c>
      <c r="P3">
        <v>19</v>
      </c>
      <c r="Q3">
        <v>0</v>
      </c>
      <c r="R3">
        <v>0</v>
      </c>
      <c r="S3">
        <v>605</v>
      </c>
      <c r="T3">
        <v>3.7654300000000002E-4</v>
      </c>
      <c r="U3">
        <v>16931.667809999999</v>
      </c>
      <c r="V3">
        <v>1</v>
      </c>
      <c r="W3" s="1">
        <v>6.6200000000000001E-13</v>
      </c>
      <c r="X3">
        <v>1</v>
      </c>
      <c r="Y3">
        <v>1</v>
      </c>
      <c r="Z3">
        <v>56.311</v>
      </c>
      <c r="AA3">
        <v>4.0308898979999999</v>
      </c>
      <c r="AB3">
        <v>-1.2541103</v>
      </c>
      <c r="AC3">
        <v>-114.4426017</v>
      </c>
      <c r="AD3">
        <v>-3.5416736289999999</v>
      </c>
      <c r="AE3">
        <v>1.036158836</v>
      </c>
      <c r="AF3">
        <v>3.5520449000000003E-2</v>
      </c>
      <c r="AG3">
        <v>1.4758222E-3</v>
      </c>
      <c r="AH3">
        <v>0.38318193221869001</v>
      </c>
      <c r="AI3">
        <f>LN(AH3)+AG3*E3+AD3</f>
        <v>-1.2541101727394741</v>
      </c>
      <c r="AJ3">
        <v>3.5999999999999999E-3</v>
      </c>
      <c r="AK3">
        <v>1.2999999999999999E-2</v>
      </c>
      <c r="AL3">
        <f>LN(AK3)+AJ3*E3+AD3</f>
        <v>3.5520449479399474E-2</v>
      </c>
      <c r="AM3">
        <f>AK3*EXP(AJ3*E3+AD3)</f>
        <v>1.0361588368202035</v>
      </c>
    </row>
    <row r="4" spans="1:39" x14ac:dyDescent="0.25">
      <c r="A4">
        <v>0</v>
      </c>
      <c r="B4">
        <v>2</v>
      </c>
      <c r="C4" s="2">
        <v>41646.76666666667</v>
      </c>
      <c r="D4" s="2">
        <v>41646.76666666667</v>
      </c>
      <c r="E4">
        <v>2061</v>
      </c>
      <c r="F4">
        <v>49</v>
      </c>
      <c r="G4">
        <v>30</v>
      </c>
      <c r="H4">
        <v>-24</v>
      </c>
      <c r="I4">
        <v>-60.8</v>
      </c>
      <c r="J4">
        <v>22122780</v>
      </c>
      <c r="K4">
        <v>1569</v>
      </c>
      <c r="L4">
        <v>1714</v>
      </c>
      <c r="M4">
        <v>360</v>
      </c>
      <c r="N4">
        <v>231</v>
      </c>
      <c r="O4">
        <v>140</v>
      </c>
      <c r="P4">
        <v>45</v>
      </c>
      <c r="Q4">
        <v>0</v>
      </c>
      <c r="R4">
        <v>0</v>
      </c>
      <c r="S4">
        <v>0</v>
      </c>
      <c r="T4">
        <v>8.8466440000000007E-3</v>
      </c>
      <c r="U4">
        <v>15727.3809</v>
      </c>
      <c r="V4">
        <v>1</v>
      </c>
      <c r="W4" s="1">
        <v>5.8200000000000004E-13</v>
      </c>
      <c r="X4">
        <v>0</v>
      </c>
      <c r="Y4">
        <v>1</v>
      </c>
      <c r="Z4">
        <v>3.8035000000000001</v>
      </c>
      <c r="AA4">
        <v>1.3359216949999999</v>
      </c>
      <c r="AB4">
        <v>1.6975129</v>
      </c>
      <c r="AC4">
        <v>-37.727994019999997</v>
      </c>
      <c r="AD4">
        <v>-0.38491117699999999</v>
      </c>
      <c r="AE4">
        <v>14.75944035</v>
      </c>
      <c r="AF4">
        <v>2.6918829020000001</v>
      </c>
      <c r="AG4">
        <v>1.4758222E-3</v>
      </c>
      <c r="AH4">
        <v>0.38318193221869001</v>
      </c>
      <c r="AI4">
        <f t="shared" ref="AI4:AI12" si="0">LN(AH4)+AG4*E4+AD4</f>
        <v>1.6975129934605262</v>
      </c>
      <c r="AJ4">
        <v>3.5999999999999999E-3</v>
      </c>
      <c r="AK4">
        <v>1.2999999999999999E-2</v>
      </c>
      <c r="AL4">
        <f t="shared" ref="AL4:AL12" si="1">LN(AK4)+AJ4*E4+AD4</f>
        <v>2.6918829014793992</v>
      </c>
      <c r="AM4">
        <f t="shared" ref="AM4:AM12" si="2">AK4*EXP(AJ4*E4+AD4)</f>
        <v>14.759440345462869</v>
      </c>
    </row>
    <row r="5" spans="1:39" x14ac:dyDescent="0.25">
      <c r="A5">
        <v>0</v>
      </c>
      <c r="B5">
        <v>3</v>
      </c>
      <c r="C5" s="2">
        <v>41046.074999999997</v>
      </c>
      <c r="D5" s="2">
        <v>41046.074999999997</v>
      </c>
      <c r="E5">
        <v>1500</v>
      </c>
      <c r="F5">
        <v>45</v>
      </c>
      <c r="G5">
        <v>75</v>
      </c>
      <c r="H5">
        <v>-10</v>
      </c>
      <c r="I5">
        <v>-51.8</v>
      </c>
      <c r="J5">
        <v>4396000</v>
      </c>
      <c r="K5">
        <v>1323</v>
      </c>
      <c r="L5">
        <v>1473</v>
      </c>
      <c r="M5">
        <v>360</v>
      </c>
      <c r="N5">
        <v>261</v>
      </c>
      <c r="O5">
        <v>110</v>
      </c>
      <c r="P5">
        <v>31</v>
      </c>
      <c r="Q5">
        <v>0</v>
      </c>
      <c r="R5">
        <v>0</v>
      </c>
      <c r="S5">
        <v>410</v>
      </c>
      <c r="T5">
        <v>1.2218767E-2</v>
      </c>
      <c r="U5">
        <v>10969.83058</v>
      </c>
      <c r="V5">
        <v>1</v>
      </c>
      <c r="W5" s="1">
        <v>1.59E-13</v>
      </c>
      <c r="X5">
        <v>0</v>
      </c>
      <c r="Y5">
        <v>1</v>
      </c>
      <c r="Z5">
        <v>14.992000000000001</v>
      </c>
      <c r="AA5">
        <v>2.7075167250000001</v>
      </c>
      <c r="AB5">
        <v>1.1925116</v>
      </c>
      <c r="AC5">
        <v>15.138965990000001</v>
      </c>
      <c r="AD5">
        <v>-6.1976282000000001E-2</v>
      </c>
      <c r="AE5">
        <v>2.7053134839999999</v>
      </c>
      <c r="AF5">
        <v>0.99521779600000004</v>
      </c>
      <c r="AG5">
        <v>1.4758222E-3</v>
      </c>
      <c r="AH5">
        <v>0.38318193221869001</v>
      </c>
      <c r="AI5">
        <f t="shared" si="0"/>
        <v>1.192511634260526</v>
      </c>
      <c r="AJ5">
        <v>3.5999999999999999E-3</v>
      </c>
      <c r="AK5">
        <v>1.2999999999999999E-2</v>
      </c>
      <c r="AL5">
        <f t="shared" si="1"/>
        <v>0.9952177964793989</v>
      </c>
      <c r="AM5">
        <f t="shared" si="2"/>
        <v>2.7053134848730997</v>
      </c>
    </row>
    <row r="6" spans="1:39" x14ac:dyDescent="0.25">
      <c r="A6">
        <v>0</v>
      </c>
      <c r="B6">
        <v>4</v>
      </c>
      <c r="C6" s="2">
        <v>41645.339583333334</v>
      </c>
      <c r="D6" s="2">
        <v>41645.333333333336</v>
      </c>
      <c r="E6">
        <v>1275</v>
      </c>
      <c r="F6">
        <v>45</v>
      </c>
      <c r="G6">
        <v>102</v>
      </c>
      <c r="H6">
        <v>-3</v>
      </c>
      <c r="I6">
        <v>-7.1</v>
      </c>
      <c r="J6">
        <v>12152160</v>
      </c>
      <c r="K6">
        <v>1360</v>
      </c>
      <c r="L6">
        <v>1385</v>
      </c>
      <c r="M6">
        <v>360</v>
      </c>
      <c r="N6">
        <v>274</v>
      </c>
      <c r="O6">
        <v>167</v>
      </c>
      <c r="P6">
        <v>45</v>
      </c>
      <c r="Q6">
        <v>0</v>
      </c>
      <c r="R6">
        <v>0</v>
      </c>
      <c r="S6">
        <v>296</v>
      </c>
      <c r="T6">
        <v>8.2206759999999997E-3</v>
      </c>
      <c r="U6">
        <v>9117.1443579999996</v>
      </c>
      <c r="V6">
        <v>1</v>
      </c>
      <c r="W6" s="1">
        <v>3.7300000000000003E-14</v>
      </c>
      <c r="X6">
        <v>0</v>
      </c>
      <c r="Y6">
        <v>1</v>
      </c>
      <c r="Z6">
        <v>2.8889</v>
      </c>
      <c r="AA6">
        <v>1.0608758069999999</v>
      </c>
      <c r="AB6">
        <v>0.46413105999999998</v>
      </c>
      <c r="AC6">
        <v>41.167729360000003</v>
      </c>
      <c r="AD6">
        <v>-0.45829690099999998</v>
      </c>
      <c r="AE6">
        <v>0.80969080800000004</v>
      </c>
      <c r="AF6">
        <v>-0.211102823</v>
      </c>
      <c r="AG6">
        <v>1.4758222E-3</v>
      </c>
      <c r="AH6">
        <v>0.38318193221869001</v>
      </c>
      <c r="AI6">
        <f t="shared" si="0"/>
        <v>0.46413102026052599</v>
      </c>
      <c r="AJ6">
        <v>3.5999999999999999E-3</v>
      </c>
      <c r="AK6">
        <v>1.2999999999999999E-2</v>
      </c>
      <c r="AL6">
        <f t="shared" si="1"/>
        <v>-0.21110282252060064</v>
      </c>
      <c r="AM6">
        <f t="shared" si="2"/>
        <v>0.8096908081511125</v>
      </c>
    </row>
    <row r="7" spans="1:39" x14ac:dyDescent="0.25">
      <c r="A7">
        <v>0</v>
      </c>
      <c r="B7">
        <v>5</v>
      </c>
      <c r="C7" s="2">
        <v>40759.173611111109</v>
      </c>
      <c r="D7" s="2">
        <v>40759.175000000003</v>
      </c>
      <c r="E7">
        <v>1950</v>
      </c>
      <c r="F7">
        <v>60</v>
      </c>
      <c r="G7">
        <v>40</v>
      </c>
      <c r="H7">
        <v>14</v>
      </c>
      <c r="I7">
        <v>-41.1</v>
      </c>
      <c r="J7">
        <v>28532700</v>
      </c>
      <c r="K7">
        <v>1074</v>
      </c>
      <c r="L7">
        <v>1208</v>
      </c>
      <c r="M7">
        <v>360</v>
      </c>
      <c r="N7">
        <v>298</v>
      </c>
      <c r="O7">
        <v>92</v>
      </c>
      <c r="P7">
        <v>10</v>
      </c>
      <c r="Q7">
        <v>0</v>
      </c>
      <c r="R7">
        <v>0</v>
      </c>
      <c r="S7">
        <v>1320</v>
      </c>
      <c r="T7">
        <v>1.0237349999999999E-2</v>
      </c>
      <c r="U7">
        <v>14772.390069999999</v>
      </c>
      <c r="V7">
        <v>1</v>
      </c>
      <c r="W7" s="1">
        <v>5.0799999999999996E-13</v>
      </c>
      <c r="X7">
        <v>0</v>
      </c>
      <c r="Y7">
        <v>1</v>
      </c>
      <c r="Z7">
        <v>1.5055000000000001</v>
      </c>
      <c r="AA7">
        <v>0.40912506900000001</v>
      </c>
      <c r="AB7">
        <v>1.6797010999999999</v>
      </c>
      <c r="AC7">
        <v>-29.72332974</v>
      </c>
      <c r="AD7">
        <v>-0.23890652500000001</v>
      </c>
      <c r="AE7">
        <v>11.45341058</v>
      </c>
      <c r="AF7">
        <v>2.4382875529999999</v>
      </c>
      <c r="AG7">
        <v>1.4758222E-3</v>
      </c>
      <c r="AH7">
        <v>0.38318193221869001</v>
      </c>
      <c r="AI7">
        <f t="shared" si="0"/>
        <v>1.6797013812605261</v>
      </c>
      <c r="AJ7">
        <v>3.5999999999999999E-3</v>
      </c>
      <c r="AK7">
        <v>1.2999999999999999E-2</v>
      </c>
      <c r="AL7">
        <f t="shared" si="1"/>
        <v>2.4382875534793991</v>
      </c>
      <c r="AM7">
        <f t="shared" si="2"/>
        <v>11.453410586687461</v>
      </c>
    </row>
    <row r="8" spans="1:39" x14ac:dyDescent="0.25">
      <c r="A8">
        <v>0</v>
      </c>
      <c r="B8">
        <v>6</v>
      </c>
      <c r="C8" s="2">
        <v>42984.51666666667</v>
      </c>
      <c r="D8" s="2">
        <v>42984.408333333333</v>
      </c>
      <c r="E8">
        <v>1238</v>
      </c>
      <c r="F8">
        <v>44</v>
      </c>
      <c r="G8">
        <v>23</v>
      </c>
      <c r="H8">
        <v>-15</v>
      </c>
      <c r="I8">
        <v>-13.8</v>
      </c>
      <c r="J8">
        <v>0</v>
      </c>
      <c r="K8">
        <v>315</v>
      </c>
      <c r="L8">
        <v>0</v>
      </c>
      <c r="M8">
        <v>245</v>
      </c>
      <c r="N8">
        <v>246</v>
      </c>
      <c r="O8">
        <v>100</v>
      </c>
      <c r="P8">
        <v>12</v>
      </c>
      <c r="Q8">
        <v>0</v>
      </c>
      <c r="R8">
        <v>0</v>
      </c>
      <c r="S8">
        <v>0</v>
      </c>
      <c r="T8">
        <v>9.6887669999999992E-3</v>
      </c>
      <c r="U8">
        <v>8816.1105370000005</v>
      </c>
      <c r="V8">
        <v>0</v>
      </c>
      <c r="W8" s="1">
        <v>2.6E-14</v>
      </c>
      <c r="X8">
        <v>0</v>
      </c>
      <c r="Y8">
        <v>2</v>
      </c>
      <c r="Z8">
        <v>0.97499999999999998</v>
      </c>
      <c r="AA8">
        <v>-2.5317808000000001E-2</v>
      </c>
      <c r="AB8">
        <v>0.57384020000000002</v>
      </c>
      <c r="AC8">
        <v>-32.971900740000002</v>
      </c>
      <c r="AD8">
        <v>-0.29398221699999999</v>
      </c>
      <c r="AE8">
        <v>0.83528011899999999</v>
      </c>
      <c r="AF8">
        <v>-0.17998813799999999</v>
      </c>
      <c r="AG8">
        <v>1.4758222E-3</v>
      </c>
      <c r="AH8">
        <v>0.38318193221869001</v>
      </c>
      <c r="AI8">
        <f t="shared" si="0"/>
        <v>0.57384028286052624</v>
      </c>
      <c r="AJ8">
        <v>3.5999999999999999E-3</v>
      </c>
      <c r="AK8">
        <v>1.2999999999999999E-2</v>
      </c>
      <c r="AL8">
        <f t="shared" si="1"/>
        <v>-0.17998813852060019</v>
      </c>
      <c r="AM8">
        <f t="shared" si="2"/>
        <v>0.83528011901043742</v>
      </c>
    </row>
    <row r="9" spans="1:39" x14ac:dyDescent="0.25">
      <c r="A9">
        <v>0</v>
      </c>
      <c r="B9">
        <v>7</v>
      </c>
      <c r="C9" s="2">
        <v>41102.70416666667</v>
      </c>
      <c r="D9" s="2">
        <v>41102.699999999997</v>
      </c>
      <c r="E9">
        <v>1400</v>
      </c>
      <c r="F9">
        <v>70</v>
      </c>
      <c r="G9">
        <v>-6</v>
      </c>
      <c r="H9">
        <v>-17</v>
      </c>
      <c r="I9">
        <v>195.6</v>
      </c>
      <c r="J9">
        <v>13406250</v>
      </c>
      <c r="K9">
        <v>1092</v>
      </c>
      <c r="L9">
        <v>2265</v>
      </c>
      <c r="M9">
        <v>360</v>
      </c>
      <c r="N9">
        <v>158</v>
      </c>
      <c r="O9">
        <v>125</v>
      </c>
      <c r="P9">
        <v>48</v>
      </c>
      <c r="Q9">
        <v>0</v>
      </c>
      <c r="R9">
        <v>0</v>
      </c>
      <c r="S9">
        <v>440</v>
      </c>
      <c r="T9">
        <v>4.5827009999999998E-3</v>
      </c>
      <c r="U9">
        <v>10141.918519999999</v>
      </c>
      <c r="V9">
        <v>1</v>
      </c>
      <c r="W9" s="1">
        <v>9.4700000000000003E-14</v>
      </c>
      <c r="X9">
        <v>0</v>
      </c>
      <c r="Y9">
        <v>2</v>
      </c>
      <c r="Z9">
        <v>0.22</v>
      </c>
      <c r="AA9">
        <v>-1.514127733</v>
      </c>
      <c r="AB9">
        <v>6.4245045000000001E-2</v>
      </c>
      <c r="AC9">
        <v>-62.094760659999999</v>
      </c>
      <c r="AD9">
        <v>-1.042660709</v>
      </c>
      <c r="AE9">
        <v>0.70788995300000002</v>
      </c>
      <c r="AF9">
        <v>-0.34546663100000002</v>
      </c>
      <c r="AG9">
        <v>1.4758222E-3</v>
      </c>
      <c r="AH9">
        <v>0.38318193221869001</v>
      </c>
      <c r="AI9">
        <f t="shared" si="0"/>
        <v>6.4244987260526187E-2</v>
      </c>
      <c r="AJ9">
        <v>3.5999999999999999E-3</v>
      </c>
      <c r="AK9">
        <v>1.2999999999999999E-2</v>
      </c>
      <c r="AL9">
        <f t="shared" si="1"/>
        <v>-0.34546663052060045</v>
      </c>
      <c r="AM9">
        <f t="shared" si="2"/>
        <v>0.70788995332895133</v>
      </c>
    </row>
    <row r="10" spans="1:39" x14ac:dyDescent="0.25">
      <c r="A10">
        <v>0</v>
      </c>
      <c r="B10">
        <v>8</v>
      </c>
      <c r="C10" s="2">
        <v>41636.75</v>
      </c>
      <c r="D10" s="2">
        <v>41636.73333333333</v>
      </c>
      <c r="E10">
        <v>769</v>
      </c>
      <c r="F10">
        <v>65</v>
      </c>
      <c r="G10">
        <v>101</v>
      </c>
      <c r="H10">
        <v>-1</v>
      </c>
      <c r="I10">
        <v>-26.7</v>
      </c>
      <c r="J10">
        <v>527000</v>
      </c>
      <c r="K10">
        <v>989</v>
      </c>
      <c r="L10">
        <v>967</v>
      </c>
      <c r="M10">
        <v>360</v>
      </c>
      <c r="N10">
        <v>284</v>
      </c>
      <c r="O10">
        <v>100</v>
      </c>
      <c r="P10">
        <v>52</v>
      </c>
      <c r="Q10">
        <v>0</v>
      </c>
      <c r="R10">
        <v>0</v>
      </c>
      <c r="S10">
        <v>725</v>
      </c>
      <c r="T10">
        <v>9.7005519999999994E-3</v>
      </c>
      <c r="U10">
        <v>5110.0749560000004</v>
      </c>
      <c r="V10">
        <v>1</v>
      </c>
      <c r="W10" s="1">
        <v>7.9699999999999998E-24</v>
      </c>
      <c r="X10">
        <v>0</v>
      </c>
      <c r="Y10">
        <v>2</v>
      </c>
      <c r="Z10">
        <v>0.25</v>
      </c>
      <c r="AA10">
        <v>-1.386294361</v>
      </c>
      <c r="AB10">
        <v>-0.11710471</v>
      </c>
      <c r="AC10">
        <v>32.903659339999997</v>
      </c>
      <c r="AD10">
        <v>-0.292766576</v>
      </c>
      <c r="AE10">
        <v>0.154560064</v>
      </c>
      <c r="AF10">
        <v>-1.8671724970000001</v>
      </c>
      <c r="AG10">
        <v>1.4758222E-3</v>
      </c>
      <c r="AH10">
        <v>0.38318193221869001</v>
      </c>
      <c r="AI10">
        <f t="shared" si="0"/>
        <v>-0.11710468793947393</v>
      </c>
      <c r="AJ10">
        <v>3.5999999999999999E-3</v>
      </c>
      <c r="AK10">
        <v>1.2999999999999999E-2</v>
      </c>
      <c r="AL10">
        <f t="shared" si="1"/>
        <v>-1.8671724975206008</v>
      </c>
      <c r="AM10">
        <f t="shared" si="2"/>
        <v>0.15456006352376017</v>
      </c>
    </row>
    <row r="11" spans="1:39" x14ac:dyDescent="0.25">
      <c r="A11">
        <v>0</v>
      </c>
      <c r="B11">
        <v>9</v>
      </c>
      <c r="C11" s="2">
        <v>40808.474999999999</v>
      </c>
      <c r="D11" s="2">
        <v>40808.449999999997</v>
      </c>
      <c r="E11">
        <v>1905</v>
      </c>
      <c r="F11">
        <v>70</v>
      </c>
      <c r="G11">
        <v>-90</v>
      </c>
      <c r="H11">
        <v>10</v>
      </c>
      <c r="I11">
        <v>-68.3</v>
      </c>
      <c r="J11">
        <v>10795750</v>
      </c>
      <c r="K11">
        <v>1563</v>
      </c>
      <c r="L11">
        <v>1809</v>
      </c>
      <c r="M11">
        <v>360</v>
      </c>
      <c r="N11">
        <v>72</v>
      </c>
      <c r="O11">
        <v>109</v>
      </c>
      <c r="P11">
        <v>22</v>
      </c>
      <c r="Q11">
        <v>0</v>
      </c>
      <c r="R11">
        <v>0</v>
      </c>
      <c r="S11">
        <v>1500</v>
      </c>
      <c r="T11" s="1">
        <v>3.7100000000000001E-5</v>
      </c>
      <c r="U11">
        <v>14387.01203</v>
      </c>
      <c r="V11">
        <v>1</v>
      </c>
      <c r="W11" s="1">
        <v>4.75E-13</v>
      </c>
      <c r="X11">
        <v>0</v>
      </c>
      <c r="Y11">
        <v>2</v>
      </c>
      <c r="Z11">
        <v>0.16400000000000001</v>
      </c>
      <c r="AA11">
        <v>-1.807888851</v>
      </c>
      <c r="AB11">
        <v>-4.0062530000000001</v>
      </c>
      <c r="AC11">
        <v>-147.18879899999999</v>
      </c>
      <c r="AD11">
        <v>-5.858448503</v>
      </c>
      <c r="AE11">
        <v>3.5321817999999998E-2</v>
      </c>
      <c r="AF11">
        <v>-3.3432544239999999</v>
      </c>
      <c r="AG11">
        <v>1.4758222E-3</v>
      </c>
      <c r="AH11">
        <v>0.38318193221869001</v>
      </c>
      <c r="AI11">
        <f t="shared" si="0"/>
        <v>-4.0062525957394737</v>
      </c>
      <c r="AJ11">
        <v>3.5999999999999999E-3</v>
      </c>
      <c r="AK11">
        <v>1.2999999999999999E-2</v>
      </c>
      <c r="AL11">
        <f t="shared" si="1"/>
        <v>-3.3432544245206008</v>
      </c>
      <c r="AM11">
        <f t="shared" si="2"/>
        <v>3.5321818275395295E-2</v>
      </c>
    </row>
    <row r="12" spans="1:39" x14ac:dyDescent="0.25">
      <c r="A12">
        <v>0</v>
      </c>
      <c r="B12">
        <v>10</v>
      </c>
      <c r="C12" s="2">
        <v>40623.120833333334</v>
      </c>
      <c r="D12" s="2">
        <v>40623.1</v>
      </c>
      <c r="E12">
        <v>1000</v>
      </c>
      <c r="F12">
        <v>70</v>
      </c>
      <c r="G12">
        <v>130</v>
      </c>
      <c r="H12">
        <v>20</v>
      </c>
      <c r="I12">
        <v>8</v>
      </c>
      <c r="J12">
        <v>0</v>
      </c>
      <c r="K12">
        <v>1389</v>
      </c>
      <c r="L12">
        <v>1367</v>
      </c>
      <c r="M12">
        <v>360</v>
      </c>
      <c r="N12">
        <v>274</v>
      </c>
      <c r="O12">
        <v>24</v>
      </c>
      <c r="P12">
        <v>9</v>
      </c>
      <c r="Q12">
        <v>0</v>
      </c>
      <c r="R12">
        <v>0</v>
      </c>
      <c r="S12">
        <v>0</v>
      </c>
      <c r="T12">
        <v>3.9564270000000002E-3</v>
      </c>
      <c r="U12">
        <v>6907.755279</v>
      </c>
      <c r="V12">
        <v>1</v>
      </c>
      <c r="W12" s="1">
        <v>3.5300000000000002E-16</v>
      </c>
      <c r="X12">
        <v>0</v>
      </c>
      <c r="Y12">
        <v>2</v>
      </c>
      <c r="Z12">
        <v>0.20499999999999999</v>
      </c>
      <c r="AA12">
        <v>-1.5847453</v>
      </c>
      <c r="AB12">
        <v>-0.67303115000000002</v>
      </c>
      <c r="AC12">
        <v>66.326241400000001</v>
      </c>
      <c r="AD12">
        <v>-1.1896079770000001</v>
      </c>
      <c r="AE12">
        <v>0.14479824799999999</v>
      </c>
      <c r="AF12">
        <v>-1.9324138980000001</v>
      </c>
      <c r="AG12">
        <v>1.4758222E-3</v>
      </c>
      <c r="AH12">
        <v>0.38318193221869001</v>
      </c>
      <c r="AI12">
        <f t="shared" si="0"/>
        <v>-0.67303116073947411</v>
      </c>
      <c r="AJ12">
        <v>3.5999999999999999E-3</v>
      </c>
      <c r="AK12">
        <v>1.2999999999999999E-2</v>
      </c>
      <c r="AL12">
        <f t="shared" si="1"/>
        <v>-1.9324138985206005</v>
      </c>
      <c r="AM12">
        <f t="shared" si="2"/>
        <v>0.14479824800443566</v>
      </c>
    </row>
    <row r="13" spans="1:39" x14ac:dyDescent="0.25">
      <c r="C13" s="2"/>
      <c r="D13" s="2"/>
      <c r="T13" s="1"/>
      <c r="W13" s="1"/>
    </row>
    <row r="14" spans="1:39" x14ac:dyDescent="0.25">
      <c r="C14" t="s">
        <v>65</v>
      </c>
    </row>
    <row r="15" spans="1:39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K15" t="s">
        <v>77</v>
      </c>
      <c r="L15" t="s">
        <v>78</v>
      </c>
      <c r="M15" t="s">
        <v>79</v>
      </c>
      <c r="N15" t="s">
        <v>80</v>
      </c>
      <c r="O15" t="s">
        <v>81</v>
      </c>
      <c r="P15" t="s">
        <v>82</v>
      </c>
      <c r="Q15" t="s">
        <v>83</v>
      </c>
      <c r="R15" t="s">
        <v>84</v>
      </c>
      <c r="S15" t="s">
        <v>85</v>
      </c>
      <c r="T15" t="s">
        <v>86</v>
      </c>
      <c r="U15" t="s">
        <v>87</v>
      </c>
      <c r="V15" t="s">
        <v>88</v>
      </c>
      <c r="W15" t="s">
        <v>89</v>
      </c>
      <c r="X15" t="s">
        <v>90</v>
      </c>
      <c r="Y15" t="s">
        <v>38</v>
      </c>
      <c r="Z15" t="s">
        <v>50</v>
      </c>
      <c r="AA15" t="s">
        <v>39</v>
      </c>
      <c r="AB15" t="s">
        <v>91</v>
      </c>
      <c r="AC15" t="s">
        <v>92</v>
      </c>
      <c r="AD15" t="s">
        <v>93</v>
      </c>
      <c r="AE15" t="s">
        <v>94</v>
      </c>
      <c r="AF15" t="s">
        <v>95</v>
      </c>
      <c r="AG15" t="s">
        <v>103</v>
      </c>
      <c r="AH15" t="s">
        <v>104</v>
      </c>
      <c r="AI15" t="s">
        <v>105</v>
      </c>
      <c r="AJ15" t="s">
        <v>106</v>
      </c>
      <c r="AK15" t="s">
        <v>107</v>
      </c>
      <c r="AL15" t="s">
        <v>108</v>
      </c>
      <c r="AM15" t="s">
        <v>109</v>
      </c>
    </row>
    <row r="16" spans="1:39" x14ac:dyDescent="0.25">
      <c r="A16">
        <v>0</v>
      </c>
      <c r="B16">
        <v>1</v>
      </c>
      <c r="C16" s="2">
        <v>40935.693749999999</v>
      </c>
      <c r="D16" s="2">
        <v>40935.768750000003</v>
      </c>
      <c r="E16">
        <v>2200</v>
      </c>
      <c r="F16">
        <v>55</v>
      </c>
      <c r="G16">
        <v>75</v>
      </c>
      <c r="H16">
        <v>40</v>
      </c>
      <c r="I16">
        <v>165.9</v>
      </c>
      <c r="J16">
        <v>9747750</v>
      </c>
      <c r="K16">
        <v>3090</v>
      </c>
      <c r="L16">
        <v>2761</v>
      </c>
      <c r="M16">
        <v>360</v>
      </c>
      <c r="N16">
        <v>296</v>
      </c>
      <c r="O16">
        <v>65</v>
      </c>
      <c r="P16">
        <v>22</v>
      </c>
      <c r="Q16">
        <v>0</v>
      </c>
      <c r="R16">
        <v>0</v>
      </c>
      <c r="S16">
        <v>0</v>
      </c>
      <c r="T16">
        <v>6.7722779999999996E-3</v>
      </c>
      <c r="U16">
        <v>16931.667809999999</v>
      </c>
      <c r="V16">
        <v>1</v>
      </c>
      <c r="W16" s="1">
        <v>6.6200000000000001E-13</v>
      </c>
      <c r="X16">
        <v>0</v>
      </c>
      <c r="Y16">
        <v>1</v>
      </c>
      <c r="Z16">
        <v>9.6602999999999994</v>
      </c>
      <c r="AA16">
        <v>2.2680247040000001</v>
      </c>
      <c r="AB16">
        <v>2.7947426000000002</v>
      </c>
      <c r="AC16">
        <v>49.10712607</v>
      </c>
      <c r="AD16">
        <v>-0.65211190699999999</v>
      </c>
      <c r="AE16">
        <v>18.63575732</v>
      </c>
      <c r="AF16">
        <v>2.9250821720000002</v>
      </c>
      <c r="AG16">
        <v>2.6127298000000001E-3</v>
      </c>
      <c r="AH16">
        <v>0.10014353232883</v>
      </c>
      <c r="AI16">
        <f>LN(AH16)+AG16*E16+AD16</f>
        <v>2.7947428542023856</v>
      </c>
      <c r="AJ16">
        <v>3.5999999999999999E-3</v>
      </c>
      <c r="AK16">
        <v>1.2999999999999999E-2</v>
      </c>
      <c r="AL16">
        <f>LN(AK16)+AJ16*E16+AD16</f>
        <v>2.9250821714793993</v>
      </c>
      <c r="AM16">
        <f>AK16*EXP(AJ16*E16+AD16)</f>
        <v>18.635757314733276</v>
      </c>
    </row>
    <row r="17" spans="1:39" x14ac:dyDescent="0.25">
      <c r="A17">
        <v>0</v>
      </c>
      <c r="B17">
        <v>2</v>
      </c>
      <c r="C17" s="2">
        <v>41416.558333333334</v>
      </c>
      <c r="D17" s="2">
        <v>41416.559027777781</v>
      </c>
      <c r="E17">
        <v>1200</v>
      </c>
      <c r="F17">
        <v>60</v>
      </c>
      <c r="G17">
        <v>80</v>
      </c>
      <c r="H17">
        <v>10</v>
      </c>
      <c r="I17">
        <v>-13.2</v>
      </c>
      <c r="J17">
        <v>38832500</v>
      </c>
      <c r="K17">
        <v>1394</v>
      </c>
      <c r="L17">
        <v>1438</v>
      </c>
      <c r="M17">
        <v>360</v>
      </c>
      <c r="N17">
        <v>287</v>
      </c>
      <c r="O17">
        <v>131</v>
      </c>
      <c r="P17">
        <v>23</v>
      </c>
      <c r="Q17">
        <v>1</v>
      </c>
      <c r="R17">
        <v>0</v>
      </c>
      <c r="S17">
        <v>650</v>
      </c>
      <c r="T17">
        <v>1.0104718E-2</v>
      </c>
      <c r="U17">
        <v>8508.0922030000002</v>
      </c>
      <c r="V17">
        <v>1</v>
      </c>
      <c r="W17" s="1">
        <v>1.6899999999999999E-14</v>
      </c>
      <c r="X17">
        <v>1</v>
      </c>
      <c r="Y17">
        <v>1</v>
      </c>
      <c r="Z17">
        <v>3.4066999999999998</v>
      </c>
      <c r="AA17">
        <v>1.225744081</v>
      </c>
      <c r="AB17">
        <v>0.58217810000000003</v>
      </c>
      <c r="AC17">
        <v>30.523755529999999</v>
      </c>
      <c r="AD17">
        <v>-0.25194690400000003</v>
      </c>
      <c r="AE17">
        <v>0.75975989300000002</v>
      </c>
      <c r="AF17">
        <v>-0.27475282600000001</v>
      </c>
      <c r="AG17">
        <v>2.6127298000000001E-3</v>
      </c>
      <c r="AH17">
        <v>0.10014353232883</v>
      </c>
      <c r="AI17">
        <f t="shared" ref="AI17:AI25" si="3">LN(AH17)+AG17*E17+AD17</f>
        <v>0.5821780572023858</v>
      </c>
      <c r="AJ17">
        <v>3.5999999999999999E-3</v>
      </c>
      <c r="AK17">
        <v>1.2999999999999999E-2</v>
      </c>
      <c r="AL17">
        <f t="shared" ref="AL17:AL25" si="4">LN(AK17)+AJ17*E17+AD17</f>
        <v>-0.27475282552060026</v>
      </c>
      <c r="AM17">
        <f t="shared" ref="AM17:AM25" si="5">AK17*EXP(AJ17*E17+AD17)</f>
        <v>0.75975989327411908</v>
      </c>
    </row>
    <row r="18" spans="1:39" x14ac:dyDescent="0.25">
      <c r="A18">
        <v>0</v>
      </c>
      <c r="B18">
        <v>3</v>
      </c>
      <c r="C18" s="2">
        <v>40764.354166666664</v>
      </c>
      <c r="D18" s="2">
        <v>40764.341666666667</v>
      </c>
      <c r="E18">
        <v>1175</v>
      </c>
      <c r="F18">
        <v>20</v>
      </c>
      <c r="G18">
        <v>62</v>
      </c>
      <c r="H18">
        <v>-12</v>
      </c>
      <c r="I18">
        <v>-40.6</v>
      </c>
      <c r="J18">
        <v>180000</v>
      </c>
      <c r="K18">
        <v>1419</v>
      </c>
      <c r="L18">
        <v>1506</v>
      </c>
      <c r="M18">
        <v>360</v>
      </c>
      <c r="N18">
        <v>279</v>
      </c>
      <c r="O18">
        <v>61</v>
      </c>
      <c r="P18">
        <v>11</v>
      </c>
      <c r="Q18">
        <v>0</v>
      </c>
      <c r="R18">
        <v>0</v>
      </c>
      <c r="S18">
        <v>850</v>
      </c>
      <c r="T18">
        <v>1.0655532000000001E-2</v>
      </c>
      <c r="U18">
        <v>8306.1025260000006</v>
      </c>
      <c r="V18">
        <v>1</v>
      </c>
      <c r="W18" s="1">
        <v>1.23E-14</v>
      </c>
      <c r="X18">
        <v>0</v>
      </c>
      <c r="Y18">
        <v>1</v>
      </c>
      <c r="Z18">
        <v>2.2871000000000001</v>
      </c>
      <c r="AA18">
        <v>0.82728463900000004</v>
      </c>
      <c r="AB18">
        <v>0.56993649999999996</v>
      </c>
      <c r="AC18">
        <v>27.118663250000001</v>
      </c>
      <c r="AD18">
        <v>-0.19887017200000001</v>
      </c>
      <c r="AE18">
        <v>0.73221866000000002</v>
      </c>
      <c r="AF18">
        <v>-0.31167609400000001</v>
      </c>
      <c r="AG18">
        <v>2.6127298000000001E-3</v>
      </c>
      <c r="AH18">
        <v>0.10014353232883</v>
      </c>
      <c r="AI18">
        <f t="shared" si="3"/>
        <v>0.56993654420238549</v>
      </c>
      <c r="AJ18">
        <v>3.5999999999999999E-3</v>
      </c>
      <c r="AK18">
        <v>1.2999999999999999E-2</v>
      </c>
      <c r="AL18">
        <f t="shared" si="4"/>
        <v>-0.31167609352060099</v>
      </c>
      <c r="AM18">
        <f t="shared" si="5"/>
        <v>0.73221866019032233</v>
      </c>
    </row>
    <row r="19" spans="1:39" x14ac:dyDescent="0.25">
      <c r="A19">
        <v>0</v>
      </c>
      <c r="B19">
        <v>4</v>
      </c>
      <c r="C19" s="2">
        <v>41375.316666666666</v>
      </c>
      <c r="D19" s="2">
        <v>41375.308333333334</v>
      </c>
      <c r="E19">
        <v>1000</v>
      </c>
      <c r="F19">
        <v>58</v>
      </c>
      <c r="G19">
        <v>-25</v>
      </c>
      <c r="H19">
        <v>-7</v>
      </c>
      <c r="I19">
        <v>-8.1</v>
      </c>
      <c r="J19">
        <v>4606000</v>
      </c>
      <c r="K19">
        <v>792</v>
      </c>
      <c r="L19">
        <v>819</v>
      </c>
      <c r="M19">
        <v>360</v>
      </c>
      <c r="N19">
        <v>85</v>
      </c>
      <c r="O19">
        <v>126</v>
      </c>
      <c r="P19">
        <v>10</v>
      </c>
      <c r="Q19">
        <v>0</v>
      </c>
      <c r="R19">
        <v>0</v>
      </c>
      <c r="S19">
        <v>0</v>
      </c>
      <c r="T19">
        <v>2.335878E-3</v>
      </c>
      <c r="U19">
        <v>6907.755279</v>
      </c>
      <c r="V19">
        <v>1</v>
      </c>
      <c r="W19" s="1">
        <v>3.5300000000000002E-16</v>
      </c>
      <c r="X19">
        <v>1</v>
      </c>
      <c r="Y19">
        <v>1</v>
      </c>
      <c r="Z19">
        <v>1.7666999999999999</v>
      </c>
      <c r="AA19">
        <v>0.56911339999999999</v>
      </c>
      <c r="AB19">
        <v>-1.4049824</v>
      </c>
      <c r="AC19">
        <v>-79.67335842</v>
      </c>
      <c r="AD19">
        <v>-1.7165613959999999</v>
      </c>
      <c r="AE19">
        <v>8.5489020999999998E-2</v>
      </c>
      <c r="AF19">
        <v>-2.4593673169999999</v>
      </c>
      <c r="AG19">
        <v>2.6127298000000001E-3</v>
      </c>
      <c r="AH19">
        <v>0.10014353232883</v>
      </c>
      <c r="AI19">
        <f t="shared" si="3"/>
        <v>-1.4049823947976141</v>
      </c>
      <c r="AJ19">
        <v>3.5999999999999999E-3</v>
      </c>
      <c r="AK19">
        <v>1.2999999999999999E-2</v>
      </c>
      <c r="AL19">
        <f t="shared" si="4"/>
        <v>-2.4593673175206003</v>
      </c>
      <c r="AM19">
        <f t="shared" si="5"/>
        <v>8.5489021266788562E-2</v>
      </c>
    </row>
    <row r="20" spans="1:39" x14ac:dyDescent="0.25">
      <c r="A20">
        <v>0</v>
      </c>
      <c r="B20">
        <v>5</v>
      </c>
      <c r="C20" s="2">
        <v>41113.10833333333</v>
      </c>
      <c r="D20" s="2">
        <v>41113.10833333333</v>
      </c>
      <c r="E20">
        <v>2800</v>
      </c>
      <c r="F20">
        <v>65</v>
      </c>
      <c r="G20">
        <v>130</v>
      </c>
      <c r="H20">
        <v>5</v>
      </c>
      <c r="I20">
        <v>-24.6</v>
      </c>
      <c r="J20">
        <v>3355800</v>
      </c>
      <c r="K20">
        <v>1901</v>
      </c>
      <c r="L20">
        <v>1972</v>
      </c>
      <c r="M20">
        <v>360</v>
      </c>
      <c r="N20">
        <v>286</v>
      </c>
      <c r="O20">
        <v>63</v>
      </c>
      <c r="P20">
        <v>42</v>
      </c>
      <c r="Q20">
        <v>0</v>
      </c>
      <c r="R20">
        <v>0</v>
      </c>
      <c r="S20">
        <v>0</v>
      </c>
      <c r="T20">
        <v>2.4458290000000001E-3</v>
      </c>
      <c r="U20">
        <v>22224.649150000001</v>
      </c>
      <c r="V20">
        <v>1</v>
      </c>
      <c r="W20" s="1">
        <v>8.52E-13</v>
      </c>
      <c r="X20">
        <v>0</v>
      </c>
      <c r="Y20">
        <v>2</v>
      </c>
      <c r="Z20">
        <v>0.72599999999999998</v>
      </c>
      <c r="AA20">
        <v>-0.32020526399999999</v>
      </c>
      <c r="AB20">
        <v>3.3439274000000001</v>
      </c>
      <c r="AC20">
        <v>78.598665010000005</v>
      </c>
      <c r="AD20">
        <v>-1.670565208</v>
      </c>
      <c r="AE20">
        <v>58.359891820000001</v>
      </c>
      <c r="AF20">
        <v>4.0666288699999997</v>
      </c>
      <c r="AG20">
        <v>2.6127298000000001E-3</v>
      </c>
      <c r="AH20">
        <v>0.10014353232883</v>
      </c>
      <c r="AI20">
        <f t="shared" si="3"/>
        <v>3.3439274332023858</v>
      </c>
      <c r="AJ20">
        <v>3.5999999999999999E-3</v>
      </c>
      <c r="AK20">
        <v>1.2999999999999999E-2</v>
      </c>
      <c r="AL20">
        <f t="shared" si="4"/>
        <v>4.0666288704793994</v>
      </c>
      <c r="AM20">
        <f t="shared" si="5"/>
        <v>58.359891848796444</v>
      </c>
    </row>
    <row r="21" spans="1:39" x14ac:dyDescent="0.25">
      <c r="A21">
        <v>0</v>
      </c>
      <c r="B21">
        <v>6</v>
      </c>
      <c r="C21" s="2">
        <v>41109.23333333333</v>
      </c>
      <c r="D21" s="2">
        <v>41109.183333333334</v>
      </c>
      <c r="E21">
        <v>1200</v>
      </c>
      <c r="F21">
        <v>50</v>
      </c>
      <c r="G21">
        <v>100</v>
      </c>
      <c r="H21">
        <v>-20</v>
      </c>
      <c r="I21">
        <v>13.1</v>
      </c>
      <c r="J21">
        <v>0</v>
      </c>
      <c r="K21">
        <v>472</v>
      </c>
      <c r="L21">
        <v>698</v>
      </c>
      <c r="M21">
        <v>208</v>
      </c>
      <c r="N21">
        <v>203</v>
      </c>
      <c r="O21">
        <v>38</v>
      </c>
      <c r="P21">
        <v>44</v>
      </c>
      <c r="Q21">
        <v>0</v>
      </c>
      <c r="R21">
        <v>0</v>
      </c>
      <c r="S21">
        <v>0</v>
      </c>
      <c r="T21">
        <v>7.080345E-3</v>
      </c>
      <c r="U21">
        <v>8508.0922030000002</v>
      </c>
      <c r="V21">
        <v>0</v>
      </c>
      <c r="W21" s="1">
        <v>1.6899999999999999E-14</v>
      </c>
      <c r="X21">
        <v>0</v>
      </c>
      <c r="Y21">
        <v>2</v>
      </c>
      <c r="Z21">
        <v>0.749</v>
      </c>
      <c r="AA21">
        <v>-0.28901629499999998</v>
      </c>
      <c r="AB21">
        <v>0.22649837</v>
      </c>
      <c r="AC21">
        <v>47.40256772</v>
      </c>
      <c r="AD21">
        <v>-0.60762667000000004</v>
      </c>
      <c r="AE21">
        <v>0.53236145599999996</v>
      </c>
      <c r="AF21">
        <v>-0.63043259200000001</v>
      </c>
      <c r="AG21">
        <v>2.6127298000000001E-3</v>
      </c>
      <c r="AH21">
        <v>0.10014353232883</v>
      </c>
      <c r="AI21">
        <f t="shared" si="3"/>
        <v>0.22649829120238574</v>
      </c>
      <c r="AJ21">
        <v>3.5999999999999999E-3</v>
      </c>
      <c r="AK21">
        <v>1.2999999999999999E-2</v>
      </c>
      <c r="AL21">
        <f t="shared" si="4"/>
        <v>-0.63043259152060027</v>
      </c>
      <c r="AM21">
        <f t="shared" si="5"/>
        <v>0.53236145613605146</v>
      </c>
    </row>
    <row r="22" spans="1:39" x14ac:dyDescent="0.25">
      <c r="A22">
        <v>0</v>
      </c>
      <c r="B22">
        <v>7</v>
      </c>
      <c r="C22" s="2">
        <v>41098.699999999997</v>
      </c>
      <c r="D22" s="2">
        <v>41098.691666666666</v>
      </c>
      <c r="E22">
        <v>1000</v>
      </c>
      <c r="F22">
        <v>30</v>
      </c>
      <c r="G22">
        <v>90</v>
      </c>
      <c r="H22">
        <v>-50</v>
      </c>
      <c r="I22">
        <v>-117.2</v>
      </c>
      <c r="J22">
        <v>0</v>
      </c>
      <c r="K22">
        <v>907</v>
      </c>
      <c r="L22">
        <v>1442</v>
      </c>
      <c r="M22">
        <v>212</v>
      </c>
      <c r="N22">
        <v>234</v>
      </c>
      <c r="O22">
        <v>117</v>
      </c>
      <c r="P22">
        <v>46</v>
      </c>
      <c r="Q22">
        <v>2</v>
      </c>
      <c r="R22">
        <v>0</v>
      </c>
      <c r="S22">
        <v>850</v>
      </c>
      <c r="T22">
        <v>4.9245809999999999E-3</v>
      </c>
      <c r="U22">
        <v>6907.755279</v>
      </c>
      <c r="V22">
        <v>0</v>
      </c>
      <c r="W22" s="1">
        <v>3.5300000000000002E-16</v>
      </c>
      <c r="X22">
        <v>0</v>
      </c>
      <c r="Y22">
        <v>2</v>
      </c>
      <c r="Z22">
        <v>0.66900000000000004</v>
      </c>
      <c r="AA22">
        <v>-0.40197121899999999</v>
      </c>
      <c r="AB22">
        <v>-0.65913129999999998</v>
      </c>
      <c r="AC22">
        <v>59.913992970000002</v>
      </c>
      <c r="AD22">
        <v>-0.97071026299999996</v>
      </c>
      <c r="AE22">
        <v>0.180230952</v>
      </c>
      <c r="AF22">
        <v>-1.713516185</v>
      </c>
      <c r="AG22">
        <v>2.6127298000000001E-3</v>
      </c>
      <c r="AH22">
        <v>0.10014353232883</v>
      </c>
      <c r="AI22">
        <f t="shared" si="3"/>
        <v>-0.65913126179761417</v>
      </c>
      <c r="AJ22">
        <v>3.5999999999999999E-3</v>
      </c>
      <c r="AK22">
        <v>1.2999999999999999E-2</v>
      </c>
      <c r="AL22">
        <f t="shared" si="4"/>
        <v>-1.7135161845206004</v>
      </c>
      <c r="AM22">
        <f t="shared" si="5"/>
        <v>0.18023095187947688</v>
      </c>
    </row>
    <row r="23" spans="1:39" x14ac:dyDescent="0.25">
      <c r="A23">
        <v>0</v>
      </c>
      <c r="B23">
        <v>8</v>
      </c>
      <c r="C23" s="2">
        <v>41096.966666666667</v>
      </c>
      <c r="D23" s="2">
        <v>41096.974999999999</v>
      </c>
      <c r="E23">
        <v>1200</v>
      </c>
      <c r="F23">
        <v>40</v>
      </c>
      <c r="G23">
        <v>65</v>
      </c>
      <c r="H23">
        <v>-35</v>
      </c>
      <c r="I23">
        <v>-56.1</v>
      </c>
      <c r="J23">
        <v>4239000</v>
      </c>
      <c r="K23">
        <v>1612</v>
      </c>
      <c r="L23">
        <v>1730</v>
      </c>
      <c r="M23">
        <v>360</v>
      </c>
      <c r="N23">
        <v>233</v>
      </c>
      <c r="O23">
        <v>132</v>
      </c>
      <c r="P23">
        <v>43</v>
      </c>
      <c r="Q23">
        <v>0</v>
      </c>
      <c r="R23">
        <v>0</v>
      </c>
      <c r="S23">
        <v>1000</v>
      </c>
      <c r="T23">
        <v>8.6806639999999994E-3</v>
      </c>
      <c r="U23">
        <v>8508.0922030000002</v>
      </c>
      <c r="V23">
        <v>1</v>
      </c>
      <c r="W23" s="1">
        <v>1.6899999999999999E-14</v>
      </c>
      <c r="X23">
        <v>0</v>
      </c>
      <c r="Y23">
        <v>2</v>
      </c>
      <c r="Z23">
        <v>0.314</v>
      </c>
      <c r="AA23">
        <v>-1.1583622929999999</v>
      </c>
      <c r="AB23">
        <v>0.43027377</v>
      </c>
      <c r="AC23">
        <v>38.645079959999997</v>
      </c>
      <c r="AD23">
        <v>-0.40385132600000001</v>
      </c>
      <c r="AE23">
        <v>0.65268722400000001</v>
      </c>
      <c r="AF23">
        <v>-0.42665724799999999</v>
      </c>
      <c r="AG23">
        <v>2.6127298000000001E-3</v>
      </c>
      <c r="AH23">
        <v>0.10014353232883</v>
      </c>
      <c r="AI23">
        <f t="shared" si="3"/>
        <v>0.43027363520238576</v>
      </c>
      <c r="AJ23">
        <v>3.5999999999999999E-3</v>
      </c>
      <c r="AK23">
        <v>1.2999999999999999E-2</v>
      </c>
      <c r="AL23">
        <f t="shared" si="4"/>
        <v>-0.42665724752060025</v>
      </c>
      <c r="AM23">
        <f t="shared" si="5"/>
        <v>0.65268722405799229</v>
      </c>
    </row>
    <row r="24" spans="1:39" x14ac:dyDescent="0.25">
      <c r="A24">
        <v>0</v>
      </c>
      <c r="B24">
        <v>9</v>
      </c>
      <c r="C24" s="2">
        <v>41546.944444444445</v>
      </c>
      <c r="D24" s="2">
        <v>41546.925000000003</v>
      </c>
      <c r="E24">
        <v>1100</v>
      </c>
      <c r="F24">
        <v>70</v>
      </c>
      <c r="G24">
        <v>38</v>
      </c>
      <c r="H24">
        <v>26</v>
      </c>
      <c r="I24">
        <v>-5.3</v>
      </c>
      <c r="J24">
        <v>19334780</v>
      </c>
      <c r="K24">
        <v>1142</v>
      </c>
      <c r="L24">
        <v>1164</v>
      </c>
      <c r="M24">
        <v>360</v>
      </c>
      <c r="N24">
        <v>343</v>
      </c>
      <c r="O24">
        <v>43</v>
      </c>
      <c r="P24">
        <v>26</v>
      </c>
      <c r="Q24">
        <v>0</v>
      </c>
      <c r="R24">
        <v>0</v>
      </c>
      <c r="S24">
        <v>0</v>
      </c>
      <c r="T24">
        <v>6.2259840000000004E-3</v>
      </c>
      <c r="U24">
        <v>7703.3720050000002</v>
      </c>
      <c r="V24">
        <v>1</v>
      </c>
      <c r="W24" s="1">
        <v>3.7799999999999999E-15</v>
      </c>
      <c r="X24">
        <v>0</v>
      </c>
      <c r="Y24">
        <v>2</v>
      </c>
      <c r="Z24">
        <v>0.16300000000000001</v>
      </c>
      <c r="AA24">
        <v>-1.8140050780000001</v>
      </c>
      <c r="AB24">
        <v>-0.16336584000000001</v>
      </c>
      <c r="AC24">
        <v>-52.177902410000002</v>
      </c>
      <c r="AD24">
        <v>-0.73621782000000002</v>
      </c>
      <c r="AE24">
        <v>0.32659848299999999</v>
      </c>
      <c r="AF24">
        <v>-1.119023742</v>
      </c>
      <c r="AG24">
        <v>2.6127298000000001E-3</v>
      </c>
      <c r="AH24">
        <v>0.10014353232883</v>
      </c>
      <c r="AI24">
        <f t="shared" si="3"/>
        <v>-0.16336583879761446</v>
      </c>
      <c r="AJ24">
        <v>3.5999999999999999E-3</v>
      </c>
      <c r="AK24">
        <v>1.2999999999999999E-2</v>
      </c>
      <c r="AL24">
        <f t="shared" si="4"/>
        <v>-1.1190237415206006</v>
      </c>
      <c r="AM24">
        <f t="shared" si="5"/>
        <v>0.32659848357528148</v>
      </c>
    </row>
    <row r="25" spans="1:39" x14ac:dyDescent="0.25">
      <c r="A25">
        <v>0</v>
      </c>
      <c r="B25">
        <v>10</v>
      </c>
      <c r="C25" s="2">
        <v>41580.199999999997</v>
      </c>
      <c r="D25" s="2">
        <v>41580.199999999997</v>
      </c>
      <c r="E25">
        <v>1078</v>
      </c>
      <c r="F25">
        <v>75</v>
      </c>
      <c r="G25">
        <v>145</v>
      </c>
      <c r="H25">
        <v>5</v>
      </c>
      <c r="I25">
        <v>-26.4</v>
      </c>
      <c r="J25">
        <v>0</v>
      </c>
      <c r="K25">
        <v>585</v>
      </c>
      <c r="L25">
        <v>708</v>
      </c>
      <c r="M25">
        <v>360</v>
      </c>
      <c r="N25">
        <v>239</v>
      </c>
      <c r="O25">
        <v>101</v>
      </c>
      <c r="P25">
        <v>53</v>
      </c>
      <c r="Q25">
        <v>0</v>
      </c>
      <c r="R25">
        <v>0</v>
      </c>
      <c r="S25">
        <v>0</v>
      </c>
      <c r="T25">
        <v>2.8021629999999999E-3</v>
      </c>
      <c r="U25">
        <v>7527.526046</v>
      </c>
      <c r="V25">
        <v>1</v>
      </c>
      <c r="W25" s="1">
        <v>2.4699999999999999E-15</v>
      </c>
      <c r="X25">
        <v>0</v>
      </c>
      <c r="Y25">
        <v>2</v>
      </c>
      <c r="Z25">
        <v>0.20200000000000001</v>
      </c>
      <c r="AA25">
        <v>-1.5994875820000001</v>
      </c>
      <c r="AB25">
        <v>-1.0191858</v>
      </c>
      <c r="AC25">
        <v>75.33122899</v>
      </c>
      <c r="AD25">
        <v>-1.534557615</v>
      </c>
      <c r="AE25">
        <v>0.13580115800000001</v>
      </c>
      <c r="AF25">
        <v>-1.9965635370000001</v>
      </c>
      <c r="AG25">
        <v>2.6127298000000001E-3</v>
      </c>
      <c r="AH25">
        <v>0.10014353232883</v>
      </c>
      <c r="AI25">
        <f t="shared" si="3"/>
        <v>-1.0191856893976146</v>
      </c>
      <c r="AJ25">
        <v>3.5999999999999999E-3</v>
      </c>
      <c r="AK25">
        <v>1.2999999999999999E-2</v>
      </c>
      <c r="AL25">
        <f t="shared" si="4"/>
        <v>-1.9965635365206007</v>
      </c>
      <c r="AM25">
        <f t="shared" si="5"/>
        <v>0.13580115801729398</v>
      </c>
    </row>
    <row r="26" spans="1:39" x14ac:dyDescent="0.25">
      <c r="C26" s="2"/>
      <c r="D26" s="2"/>
      <c r="W26" s="1"/>
    </row>
    <row r="27" spans="1:39" x14ac:dyDescent="0.25">
      <c r="C27" t="s">
        <v>66</v>
      </c>
    </row>
    <row r="28" spans="1:39" x14ac:dyDescent="0.25">
      <c r="A28" t="s">
        <v>67</v>
      </c>
      <c r="B28" t="s">
        <v>68</v>
      </c>
      <c r="C28" t="s">
        <v>69</v>
      </c>
      <c r="D28" t="s">
        <v>70</v>
      </c>
      <c r="E28" t="s">
        <v>71</v>
      </c>
      <c r="F28" t="s">
        <v>72</v>
      </c>
      <c r="G28" t="s">
        <v>73</v>
      </c>
      <c r="H28" t="s">
        <v>74</v>
      </c>
      <c r="I28" t="s">
        <v>75</v>
      </c>
      <c r="J28" t="s">
        <v>76</v>
      </c>
      <c r="K28" t="s">
        <v>77</v>
      </c>
      <c r="L28" t="s">
        <v>78</v>
      </c>
      <c r="M28" t="s">
        <v>79</v>
      </c>
      <c r="N28" t="s">
        <v>80</v>
      </c>
      <c r="O28" t="s">
        <v>81</v>
      </c>
      <c r="P28" t="s">
        <v>82</v>
      </c>
      <c r="Q28" t="s">
        <v>83</v>
      </c>
      <c r="R28" t="s">
        <v>84</v>
      </c>
      <c r="S28" t="s">
        <v>85</v>
      </c>
      <c r="T28" t="s">
        <v>86</v>
      </c>
      <c r="U28" t="s">
        <v>87</v>
      </c>
      <c r="V28" t="s">
        <v>88</v>
      </c>
      <c r="W28" t="s">
        <v>89</v>
      </c>
      <c r="X28" t="s">
        <v>90</v>
      </c>
      <c r="Y28" t="s">
        <v>38</v>
      </c>
      <c r="Z28" t="s">
        <v>50</v>
      </c>
      <c r="AA28" t="s">
        <v>39</v>
      </c>
      <c r="AB28" t="s">
        <v>91</v>
      </c>
      <c r="AC28" t="s">
        <v>92</v>
      </c>
      <c r="AD28" t="s">
        <v>93</v>
      </c>
      <c r="AE28" t="s">
        <v>94</v>
      </c>
      <c r="AF28" t="s">
        <v>95</v>
      </c>
      <c r="AG28" t="s">
        <v>103</v>
      </c>
      <c r="AH28" t="s">
        <v>104</v>
      </c>
      <c r="AI28" t="s">
        <v>105</v>
      </c>
      <c r="AJ28" t="s">
        <v>106</v>
      </c>
      <c r="AK28" t="s">
        <v>107</v>
      </c>
      <c r="AL28" t="s">
        <v>108</v>
      </c>
      <c r="AM28" t="s">
        <v>109</v>
      </c>
    </row>
    <row r="29" spans="1:39" x14ac:dyDescent="0.25">
      <c r="A29">
        <v>0</v>
      </c>
      <c r="B29">
        <v>1</v>
      </c>
      <c r="C29" s="2">
        <v>40981.744444444441</v>
      </c>
      <c r="D29" s="2">
        <v>40981.73333333333</v>
      </c>
      <c r="E29">
        <v>2250</v>
      </c>
      <c r="F29">
        <v>60</v>
      </c>
      <c r="G29">
        <v>43</v>
      </c>
      <c r="H29">
        <v>25</v>
      </c>
      <c r="I29">
        <v>45.6</v>
      </c>
      <c r="J29">
        <v>6083000</v>
      </c>
      <c r="K29">
        <v>2054</v>
      </c>
      <c r="L29">
        <v>1987</v>
      </c>
      <c r="M29">
        <v>360</v>
      </c>
      <c r="N29">
        <v>286</v>
      </c>
      <c r="O29">
        <v>96</v>
      </c>
      <c r="P29">
        <v>16</v>
      </c>
      <c r="Q29">
        <v>0</v>
      </c>
      <c r="R29">
        <v>0</v>
      </c>
      <c r="S29">
        <v>0</v>
      </c>
      <c r="T29">
        <v>1.0963277785616499E-2</v>
      </c>
      <c r="U29">
        <v>17367.042364196499</v>
      </c>
      <c r="V29">
        <v>1</v>
      </c>
      <c r="W29" s="1">
        <v>6.8707228321935298E-13</v>
      </c>
      <c r="X29">
        <v>0</v>
      </c>
      <c r="Y29">
        <v>1</v>
      </c>
      <c r="Z29">
        <v>3.2515999999999998</v>
      </c>
      <c r="AA29">
        <v>1.179147183</v>
      </c>
      <c r="AB29">
        <v>2.7782562</v>
      </c>
      <c r="AC29">
        <v>25.1024301333442</v>
      </c>
      <c r="AD29">
        <v>-0.17039805262288499</v>
      </c>
      <c r="AE29">
        <v>36.118168665182303</v>
      </c>
      <c r="AF29">
        <v>3.5867960258565099</v>
      </c>
      <c r="AG29">
        <v>2.1769325000000001E-3</v>
      </c>
      <c r="AH29">
        <v>0.14235325793596501</v>
      </c>
      <c r="AI29">
        <f>LN(AH29)+AG29*E29+AD29</f>
        <v>2.77825649365702</v>
      </c>
      <c r="AJ29">
        <v>3.5999999999999999E-3</v>
      </c>
      <c r="AK29">
        <v>1.2999999999999999E-2</v>
      </c>
      <c r="AL29">
        <f>LN(AK29)+AJ29*E29+AD29</f>
        <v>3.5867960258565139</v>
      </c>
      <c r="AM29">
        <f>AK29*EXP(AJ29*E29+AD29)</f>
        <v>36.118168665182381</v>
      </c>
    </row>
    <row r="30" spans="1:39" x14ac:dyDescent="0.25">
      <c r="A30">
        <v>0</v>
      </c>
      <c r="B30">
        <v>2</v>
      </c>
      <c r="C30" s="2">
        <v>40701.284722222219</v>
      </c>
      <c r="D30" s="2">
        <v>40701.28402777778</v>
      </c>
      <c r="E30">
        <v>1400</v>
      </c>
      <c r="F30">
        <v>46</v>
      </c>
      <c r="G30">
        <v>52</v>
      </c>
      <c r="H30">
        <v>-25</v>
      </c>
      <c r="I30">
        <v>0.3</v>
      </c>
      <c r="J30">
        <v>10631250</v>
      </c>
      <c r="K30">
        <v>1258</v>
      </c>
      <c r="L30">
        <v>1256</v>
      </c>
      <c r="M30">
        <v>360</v>
      </c>
      <c r="N30">
        <v>250</v>
      </c>
      <c r="O30">
        <v>58</v>
      </c>
      <c r="P30">
        <v>12</v>
      </c>
      <c r="Q30">
        <v>0</v>
      </c>
      <c r="R30">
        <v>0</v>
      </c>
      <c r="S30">
        <v>750</v>
      </c>
      <c r="T30">
        <v>1.08908454590219E-2</v>
      </c>
      <c r="U30">
        <v>10141.9185218446</v>
      </c>
      <c r="V30">
        <v>1</v>
      </c>
      <c r="W30" s="1">
        <v>9.4663744036454403E-14</v>
      </c>
      <c r="X30">
        <v>0</v>
      </c>
      <c r="Y30">
        <v>1</v>
      </c>
      <c r="Z30">
        <v>3.6612</v>
      </c>
      <c r="AA30">
        <v>1.297790963</v>
      </c>
      <c r="AB30">
        <v>0.92123529999999998</v>
      </c>
      <c r="AC30">
        <v>-25.586032503577201</v>
      </c>
      <c r="AD30">
        <v>-0.17702678725638499</v>
      </c>
      <c r="AE30">
        <v>1.68230906169977</v>
      </c>
      <c r="AF30">
        <v>0.52016729122301397</v>
      </c>
      <c r="AG30">
        <v>2.1769325000000001E-3</v>
      </c>
      <c r="AH30">
        <v>0.14235325793596501</v>
      </c>
      <c r="AI30">
        <f t="shared" ref="AI30:AI37" si="6">LN(AH30)+AG30*E30+AD30</f>
        <v>0.92123513402352064</v>
      </c>
      <c r="AJ30">
        <v>3.5999999999999999E-3</v>
      </c>
      <c r="AK30">
        <v>1.2999999999999999E-2</v>
      </c>
      <c r="AL30">
        <f t="shared" ref="AL30:AL37" si="7">LN(AK30)+AJ30*E30+AD30</f>
        <v>0.52016729122301453</v>
      </c>
      <c r="AM30">
        <f t="shared" ref="AM30:AM37" si="8">AK30*EXP(AJ30*E30+AD30)</f>
        <v>1.6823090616997713</v>
      </c>
    </row>
    <row r="31" spans="1:39" x14ac:dyDescent="0.25">
      <c r="A31">
        <v>0</v>
      </c>
      <c r="B31">
        <v>3</v>
      </c>
      <c r="C31" s="2">
        <v>40931.166666666664</v>
      </c>
      <c r="D31" s="2">
        <v>40931.166666666664</v>
      </c>
      <c r="E31">
        <v>2211</v>
      </c>
      <c r="F31">
        <v>62</v>
      </c>
      <c r="G31">
        <v>26</v>
      </c>
      <c r="H31">
        <v>41</v>
      </c>
      <c r="I31">
        <v>28</v>
      </c>
      <c r="J31">
        <v>33516000</v>
      </c>
      <c r="K31">
        <v>2283</v>
      </c>
      <c r="L31">
        <v>2216</v>
      </c>
      <c r="M31">
        <v>360</v>
      </c>
      <c r="N31">
        <v>326</v>
      </c>
      <c r="O31">
        <v>113</v>
      </c>
      <c r="P31">
        <v>25</v>
      </c>
      <c r="Q31">
        <v>0</v>
      </c>
      <c r="R31">
        <v>0</v>
      </c>
      <c r="S31">
        <v>694</v>
      </c>
      <c r="T31">
        <v>7.1085806768732603E-3</v>
      </c>
      <c r="U31">
        <v>17027.353599875802</v>
      </c>
      <c r="V31">
        <v>1</v>
      </c>
      <c r="W31" s="1">
        <v>6.6771118852011803E-13</v>
      </c>
      <c r="X31">
        <v>1</v>
      </c>
      <c r="Y31">
        <v>1</v>
      </c>
      <c r="Z31">
        <v>1.9870000000000001</v>
      </c>
      <c r="AA31">
        <v>0.68662596399999998</v>
      </c>
      <c r="AB31">
        <v>2.2601073</v>
      </c>
      <c r="AC31">
        <v>-47.247070889957399</v>
      </c>
      <c r="AD31">
        <v>-0.60364675707968096</v>
      </c>
      <c r="AE31">
        <v>20.3513514784261</v>
      </c>
      <c r="AF31">
        <v>3.01314732139971</v>
      </c>
      <c r="AG31">
        <v>2.1769325000000001E-3</v>
      </c>
      <c r="AH31">
        <v>0.14235325793596501</v>
      </c>
      <c r="AI31">
        <f t="shared" si="6"/>
        <v>2.2601074217002246</v>
      </c>
      <c r="AJ31">
        <v>3.5999999999999999E-3</v>
      </c>
      <c r="AK31">
        <v>1.2999999999999999E-2</v>
      </c>
      <c r="AL31">
        <f t="shared" si="7"/>
        <v>3.0131473213997184</v>
      </c>
      <c r="AM31">
        <f t="shared" si="8"/>
        <v>20.351351478426196</v>
      </c>
    </row>
    <row r="32" spans="1:39" x14ac:dyDescent="0.25">
      <c r="A32">
        <v>0</v>
      </c>
      <c r="B32">
        <v>4</v>
      </c>
      <c r="C32" s="2">
        <v>42306.116666666669</v>
      </c>
      <c r="D32" s="2">
        <v>42306.033333333333</v>
      </c>
      <c r="E32">
        <v>390</v>
      </c>
      <c r="F32">
        <v>31</v>
      </c>
      <c r="G32">
        <v>95</v>
      </c>
      <c r="H32">
        <v>-24</v>
      </c>
      <c r="I32">
        <v>-15.6</v>
      </c>
      <c r="J32">
        <v>0</v>
      </c>
      <c r="K32">
        <v>199</v>
      </c>
      <c r="L32">
        <v>0</v>
      </c>
      <c r="M32">
        <v>241</v>
      </c>
      <c r="N32">
        <v>234</v>
      </c>
      <c r="O32">
        <v>93</v>
      </c>
      <c r="P32">
        <v>29</v>
      </c>
      <c r="Q32">
        <v>1</v>
      </c>
      <c r="R32">
        <v>0</v>
      </c>
      <c r="S32">
        <v>430</v>
      </c>
      <c r="T32">
        <v>1.0175381206739101E-2</v>
      </c>
      <c r="U32">
        <v>2326.79722825824</v>
      </c>
      <c r="V32">
        <v>0</v>
      </c>
      <c r="W32" s="1">
        <v>5.6801033414581504E-53</v>
      </c>
      <c r="X32">
        <v>1</v>
      </c>
      <c r="Y32">
        <v>1</v>
      </c>
      <c r="Z32">
        <v>1.5447</v>
      </c>
      <c r="AA32">
        <v>0.434829717</v>
      </c>
      <c r="AB32">
        <v>-1.3454181000000001</v>
      </c>
      <c r="AC32">
        <v>30.098658480607899</v>
      </c>
      <c r="AD32">
        <v>-0.24497816179888399</v>
      </c>
      <c r="AE32">
        <v>4.1428588900555001E-2</v>
      </c>
      <c r="AF32">
        <v>-3.1837840833194799</v>
      </c>
      <c r="AG32">
        <v>2.1769325000000001E-3</v>
      </c>
      <c r="AH32">
        <v>0.14235325793596501</v>
      </c>
      <c r="AI32">
        <f t="shared" si="6"/>
        <v>-1.3454180655189785</v>
      </c>
      <c r="AJ32">
        <v>3.5999999999999999E-3</v>
      </c>
      <c r="AK32">
        <v>1.2999999999999999E-2</v>
      </c>
      <c r="AL32">
        <f t="shared" si="7"/>
        <v>-3.1837840833194848</v>
      </c>
      <c r="AM32">
        <f t="shared" si="8"/>
        <v>4.1428588900555022E-2</v>
      </c>
    </row>
    <row r="33" spans="1:44" x14ac:dyDescent="0.25">
      <c r="A33">
        <v>0</v>
      </c>
      <c r="B33">
        <v>5</v>
      </c>
      <c r="C33" s="2">
        <v>41892.762499999997</v>
      </c>
      <c r="D33" s="2">
        <v>41892.75</v>
      </c>
      <c r="E33">
        <v>1400</v>
      </c>
      <c r="F33">
        <v>45</v>
      </c>
      <c r="G33">
        <v>10</v>
      </c>
      <c r="H33">
        <v>15</v>
      </c>
      <c r="I33">
        <v>-61.8</v>
      </c>
      <c r="J33">
        <v>15220500</v>
      </c>
      <c r="K33">
        <v>911</v>
      </c>
      <c r="L33">
        <v>274</v>
      </c>
      <c r="M33">
        <v>331</v>
      </c>
      <c r="N33">
        <v>345</v>
      </c>
      <c r="O33">
        <v>169</v>
      </c>
      <c r="P33">
        <v>40</v>
      </c>
      <c r="Q33">
        <v>0</v>
      </c>
      <c r="R33">
        <v>0</v>
      </c>
      <c r="S33">
        <v>400</v>
      </c>
      <c r="T33">
        <v>5.7735060366064803E-3</v>
      </c>
      <c r="U33">
        <v>10141.9185218446</v>
      </c>
      <c r="V33">
        <v>0</v>
      </c>
      <c r="W33" s="1">
        <v>9.4663744036454403E-14</v>
      </c>
      <c r="X33">
        <v>0</v>
      </c>
      <c r="Y33">
        <v>2</v>
      </c>
      <c r="Z33">
        <v>0.93</v>
      </c>
      <c r="AA33">
        <v>-7.2570693000000006E-2</v>
      </c>
      <c r="AB33">
        <v>0.28659224999999999</v>
      </c>
      <c r="AC33">
        <v>-54.786449322988602</v>
      </c>
      <c r="AD33">
        <v>-0.81166982948090804</v>
      </c>
      <c r="AE33">
        <v>0.89183356422667504</v>
      </c>
      <c r="AF33">
        <v>-0.114475751001508</v>
      </c>
      <c r="AG33">
        <v>2.1769325000000001E-3</v>
      </c>
      <c r="AH33">
        <v>0.14235325793596501</v>
      </c>
      <c r="AI33">
        <f t="shared" si="6"/>
        <v>0.28659209179899758</v>
      </c>
      <c r="AJ33">
        <v>3.5999999999999999E-3</v>
      </c>
      <c r="AK33">
        <v>1.2999999999999999E-2</v>
      </c>
      <c r="AL33">
        <f t="shared" si="7"/>
        <v>-0.11447575100150853</v>
      </c>
      <c r="AM33">
        <f t="shared" si="8"/>
        <v>0.8918335642266757</v>
      </c>
    </row>
    <row r="34" spans="1:44" x14ac:dyDescent="0.25">
      <c r="A34">
        <v>0</v>
      </c>
      <c r="B34">
        <v>6</v>
      </c>
      <c r="C34" s="2">
        <v>41695.059027777781</v>
      </c>
      <c r="D34" s="2">
        <v>41695.059027777781</v>
      </c>
      <c r="E34">
        <v>2147</v>
      </c>
      <c r="F34">
        <v>66</v>
      </c>
      <c r="G34">
        <v>-78</v>
      </c>
      <c r="H34">
        <v>-11</v>
      </c>
      <c r="I34">
        <v>-158.1</v>
      </c>
      <c r="J34">
        <v>8784800</v>
      </c>
      <c r="K34">
        <v>1809</v>
      </c>
      <c r="L34">
        <v>2069</v>
      </c>
      <c r="M34">
        <v>360</v>
      </c>
      <c r="N34">
        <v>73</v>
      </c>
      <c r="O34">
        <v>171</v>
      </c>
      <c r="P34">
        <v>76</v>
      </c>
      <c r="Q34">
        <v>1</v>
      </c>
      <c r="R34">
        <v>1</v>
      </c>
      <c r="S34">
        <v>1050</v>
      </c>
      <c r="T34">
        <v>1.5120983415485299E-4</v>
      </c>
      <c r="U34">
        <v>16471.412135045699</v>
      </c>
      <c r="V34">
        <v>1</v>
      </c>
      <c r="W34" s="1">
        <v>6.3338683486404295E-13</v>
      </c>
      <c r="X34">
        <v>0</v>
      </c>
      <c r="Y34">
        <v>2</v>
      </c>
      <c r="Z34">
        <v>0.91900000000000004</v>
      </c>
      <c r="AA34">
        <v>-8.4469157000000003E-2</v>
      </c>
      <c r="AB34">
        <v>-1.7296058999999999</v>
      </c>
      <c r="AC34">
        <v>-128.33949362501801</v>
      </c>
      <c r="AD34">
        <v>-4.4540361341065902</v>
      </c>
      <c r="AE34">
        <v>0.34381826671890298</v>
      </c>
      <c r="AF34">
        <v>-1.0676420556271899</v>
      </c>
      <c r="AG34">
        <v>2.1769325000000001E-3</v>
      </c>
      <c r="AH34">
        <v>0.14235325793596501</v>
      </c>
      <c r="AI34">
        <f t="shared" si="6"/>
        <v>-1.7296056353266849</v>
      </c>
      <c r="AJ34">
        <v>3.5999999999999999E-3</v>
      </c>
      <c r="AK34">
        <v>1.2999999999999999E-2</v>
      </c>
      <c r="AL34">
        <f t="shared" si="7"/>
        <v>-1.0676420556271911</v>
      </c>
      <c r="AM34">
        <f t="shared" si="8"/>
        <v>0.34381826671890542</v>
      </c>
    </row>
    <row r="35" spans="1:44" x14ac:dyDescent="0.25">
      <c r="A35">
        <v>0</v>
      </c>
      <c r="B35">
        <v>7</v>
      </c>
      <c r="C35" s="2">
        <v>40792.944444444445</v>
      </c>
      <c r="D35" s="2">
        <v>40792.961805555555</v>
      </c>
      <c r="E35">
        <v>650</v>
      </c>
      <c r="F35">
        <v>30</v>
      </c>
      <c r="G35">
        <v>20</v>
      </c>
      <c r="H35">
        <v>20</v>
      </c>
      <c r="I35">
        <v>1.1000000000000001</v>
      </c>
      <c r="J35">
        <v>16325500</v>
      </c>
      <c r="K35">
        <v>589</v>
      </c>
      <c r="L35">
        <v>582</v>
      </c>
      <c r="M35">
        <v>360</v>
      </c>
      <c r="N35">
        <v>300</v>
      </c>
      <c r="O35">
        <v>89</v>
      </c>
      <c r="P35">
        <v>14</v>
      </c>
      <c r="Q35">
        <v>0</v>
      </c>
      <c r="R35">
        <v>0</v>
      </c>
      <c r="S35">
        <v>670</v>
      </c>
      <c r="T35">
        <v>8.3618083265353596E-3</v>
      </c>
      <c r="U35">
        <v>4210.0320358782901</v>
      </c>
      <c r="V35">
        <v>1</v>
      </c>
      <c r="W35" s="1">
        <v>6.2580887876033699E-49</v>
      </c>
      <c r="X35">
        <v>1</v>
      </c>
      <c r="Y35">
        <v>2</v>
      </c>
      <c r="Z35">
        <v>0.33800000000000002</v>
      </c>
      <c r="AA35">
        <v>-1.0847093830000001</v>
      </c>
      <c r="AB35">
        <v>-0.97571205999999999</v>
      </c>
      <c r="AC35">
        <v>-40.395960734912201</v>
      </c>
      <c r="AD35">
        <v>-0.44127464675407502</v>
      </c>
      <c r="AE35">
        <v>8.6805910329984401E-2</v>
      </c>
      <c r="AF35">
        <v>-2.44408056827467</v>
      </c>
      <c r="AG35">
        <v>2.1769325000000001E-3</v>
      </c>
      <c r="AH35">
        <v>0.14235325793596501</v>
      </c>
      <c r="AI35">
        <f t="shared" si="6"/>
        <v>-0.97571210047416945</v>
      </c>
      <c r="AJ35">
        <v>3.5999999999999999E-3</v>
      </c>
      <c r="AK35">
        <v>1.2999999999999999E-2</v>
      </c>
      <c r="AL35">
        <f t="shared" si="7"/>
        <v>-2.4440805682746758</v>
      </c>
      <c r="AM35">
        <f t="shared" si="8"/>
        <v>8.6805910329984484E-2</v>
      </c>
    </row>
    <row r="36" spans="1:44" x14ac:dyDescent="0.25">
      <c r="A36">
        <v>0</v>
      </c>
      <c r="B36">
        <v>8</v>
      </c>
      <c r="C36" s="2">
        <v>41883.474999999999</v>
      </c>
      <c r="D36" s="2">
        <v>41883.466666666667</v>
      </c>
      <c r="E36">
        <v>1700</v>
      </c>
      <c r="F36">
        <v>46</v>
      </c>
      <c r="G36">
        <v>-155</v>
      </c>
      <c r="H36">
        <v>1</v>
      </c>
      <c r="I36">
        <v>-240.1</v>
      </c>
      <c r="J36">
        <v>8448050</v>
      </c>
      <c r="K36">
        <v>1096</v>
      </c>
      <c r="L36">
        <v>1216</v>
      </c>
      <c r="M36">
        <v>360</v>
      </c>
      <c r="N36">
        <v>65</v>
      </c>
      <c r="O36">
        <v>96</v>
      </c>
      <c r="P36">
        <v>32</v>
      </c>
      <c r="Q36">
        <v>0</v>
      </c>
      <c r="R36">
        <v>0</v>
      </c>
      <c r="S36">
        <v>0</v>
      </c>
      <c r="T36" s="1">
        <v>2.62933656392186E-5</v>
      </c>
      <c r="U36">
        <v>12645.2520010753</v>
      </c>
      <c r="V36">
        <v>1</v>
      </c>
      <c r="W36" s="1">
        <v>3.14452171437983E-13</v>
      </c>
      <c r="X36">
        <v>1</v>
      </c>
      <c r="Y36">
        <v>2</v>
      </c>
      <c r="Z36">
        <v>0.65700000000000003</v>
      </c>
      <c r="AA36">
        <v>-0.42007126</v>
      </c>
      <c r="AB36">
        <v>-4.4520464000000004</v>
      </c>
      <c r="AC36">
        <v>151.45999066673701</v>
      </c>
      <c r="AD36">
        <v>-6.2033879861460397</v>
      </c>
      <c r="AE36">
        <v>1.19599237288474E-2</v>
      </c>
      <c r="AF36">
        <v>-4.4261939076666499</v>
      </c>
      <c r="AG36">
        <v>2.1769325000000001E-3</v>
      </c>
      <c r="AH36">
        <v>0.14235325793596501</v>
      </c>
      <c r="AI36">
        <f t="shared" si="6"/>
        <v>-4.4520463148661342</v>
      </c>
      <c r="AJ36">
        <v>3.5999999999999999E-3</v>
      </c>
      <c r="AK36">
        <v>1.2999999999999999E-2</v>
      </c>
      <c r="AL36">
        <f t="shared" si="7"/>
        <v>-4.4261939076666401</v>
      </c>
      <c r="AM36">
        <f t="shared" si="8"/>
        <v>1.1959923728847615E-2</v>
      </c>
    </row>
    <row r="37" spans="1:44" x14ac:dyDescent="0.25">
      <c r="A37">
        <v>0</v>
      </c>
      <c r="B37">
        <v>9</v>
      </c>
      <c r="C37" s="2">
        <v>41575.199999999997</v>
      </c>
      <c r="D37" s="2">
        <v>41575.199999999997</v>
      </c>
      <c r="E37">
        <v>750</v>
      </c>
      <c r="F37">
        <v>55</v>
      </c>
      <c r="G37">
        <v>73</v>
      </c>
      <c r="H37">
        <v>15</v>
      </c>
      <c r="I37">
        <v>-45.2</v>
      </c>
      <c r="J37">
        <v>5934000</v>
      </c>
      <c r="K37">
        <v>881</v>
      </c>
      <c r="L37">
        <v>1116</v>
      </c>
      <c r="M37">
        <v>315</v>
      </c>
      <c r="N37">
        <v>313</v>
      </c>
      <c r="O37">
        <v>147</v>
      </c>
      <c r="P37">
        <v>45</v>
      </c>
      <c r="Q37">
        <v>1</v>
      </c>
      <c r="R37">
        <v>0</v>
      </c>
      <c r="S37">
        <v>900</v>
      </c>
      <c r="T37">
        <v>1.19565964913442E-2</v>
      </c>
      <c r="U37">
        <v>4965.05490489776</v>
      </c>
      <c r="V37">
        <v>0</v>
      </c>
      <c r="W37" s="1">
        <v>1.49728530259917E-25</v>
      </c>
      <c r="X37">
        <v>1</v>
      </c>
      <c r="Y37">
        <v>2</v>
      </c>
      <c r="Z37">
        <v>0.16900000000000001</v>
      </c>
      <c r="AA37">
        <v>-1.7778565639999999</v>
      </c>
      <c r="AB37">
        <v>-0.4004104</v>
      </c>
      <c r="AC37">
        <v>-17.589704244009098</v>
      </c>
      <c r="AD37">
        <v>-8.3666223740323203E-2</v>
      </c>
      <c r="AE37">
        <v>0.17791094813375699</v>
      </c>
      <c r="AF37">
        <v>-1.72647214526092</v>
      </c>
      <c r="AG37">
        <v>2.1769325000000001E-3</v>
      </c>
      <c r="AH37">
        <v>0.14235325793596501</v>
      </c>
      <c r="AI37">
        <f t="shared" si="6"/>
        <v>-0.40041042746041766</v>
      </c>
      <c r="AJ37">
        <v>3.5999999999999999E-3</v>
      </c>
      <c r="AK37">
        <v>1.2999999999999999E-2</v>
      </c>
      <c r="AL37">
        <f t="shared" si="7"/>
        <v>-1.726472145260924</v>
      </c>
      <c r="AM37">
        <f t="shared" si="8"/>
        <v>0.17791094813375791</v>
      </c>
    </row>
    <row r="38" spans="1:44" x14ac:dyDescent="0.25">
      <c r="C38" s="2"/>
      <c r="D38" s="2"/>
      <c r="W38" s="1"/>
    </row>
    <row r="39" spans="1:44" x14ac:dyDescent="0.25">
      <c r="B39" t="s">
        <v>49</v>
      </c>
      <c r="N39" t="s">
        <v>49</v>
      </c>
      <c r="O39" t="s">
        <v>62</v>
      </c>
      <c r="Y39" t="s">
        <v>49</v>
      </c>
      <c r="AJ39" t="s">
        <v>49</v>
      </c>
      <c r="AK39" t="s">
        <v>62</v>
      </c>
    </row>
    <row r="40" spans="1:44" x14ac:dyDescent="0.25">
      <c r="B40" t="s">
        <v>58</v>
      </c>
      <c r="N40" t="s">
        <v>58</v>
      </c>
    </row>
    <row r="41" spans="1:44" x14ac:dyDescent="0.25">
      <c r="A41" t="s">
        <v>38</v>
      </c>
      <c r="B41" t="s">
        <v>52</v>
      </c>
      <c r="C41" t="s">
        <v>39</v>
      </c>
      <c r="D41" t="s">
        <v>53</v>
      </c>
      <c r="E41" t="s">
        <v>54</v>
      </c>
      <c r="F41" t="s">
        <v>55</v>
      </c>
      <c r="G41" t="s">
        <v>56</v>
      </c>
      <c r="J41" t="s">
        <v>61</v>
      </c>
      <c r="M41" t="s">
        <v>38</v>
      </c>
      <c r="N41" t="s">
        <v>52</v>
      </c>
      <c r="O41" t="s">
        <v>39</v>
      </c>
      <c r="P41" t="s">
        <v>53</v>
      </c>
      <c r="Q41" t="s">
        <v>54</v>
      </c>
      <c r="R41" t="s">
        <v>55</v>
      </c>
      <c r="S41" t="s">
        <v>56</v>
      </c>
      <c r="V41" t="s">
        <v>61</v>
      </c>
      <c r="X41" t="s">
        <v>38</v>
      </c>
      <c r="Y41" t="s">
        <v>52</v>
      </c>
      <c r="Z41" t="s">
        <v>39</v>
      </c>
      <c r="AA41" t="s">
        <v>53</v>
      </c>
      <c r="AB41" t="s">
        <v>54</v>
      </c>
      <c r="AC41" t="s">
        <v>55</v>
      </c>
      <c r="AD41" t="s">
        <v>56</v>
      </c>
      <c r="AG41" t="s">
        <v>61</v>
      </c>
      <c r="AI41" t="s">
        <v>38</v>
      </c>
      <c r="AJ41" t="s">
        <v>52</v>
      </c>
      <c r="AK41" t="s">
        <v>39</v>
      </c>
      <c r="AL41" t="s">
        <v>53</v>
      </c>
      <c r="AM41" t="s">
        <v>54</v>
      </c>
      <c r="AN41" t="s">
        <v>55</v>
      </c>
      <c r="AO41" t="s">
        <v>56</v>
      </c>
      <c r="AR41" t="s">
        <v>61</v>
      </c>
    </row>
    <row r="42" spans="1:44" x14ac:dyDescent="0.25">
      <c r="A42">
        <v>1</v>
      </c>
      <c r="B42">
        <v>-1.2541103</v>
      </c>
      <c r="C42">
        <v>4.0308898979999999</v>
      </c>
      <c r="D42">
        <f>ABS(B42-C42)</f>
        <v>5.2850001979999996</v>
      </c>
      <c r="E42">
        <f>SUM(D42:D51)</f>
        <v>15.585716042</v>
      </c>
      <c r="F42">
        <f>COUNTA(D42:D51)</f>
        <v>10</v>
      </c>
      <c r="G42">
        <f>E42/F42</f>
        <v>1.5585716042</v>
      </c>
      <c r="J42">
        <f>AVERAGE(G42,G55,G68)</f>
        <v>1.3841317652555556</v>
      </c>
      <c r="K42">
        <f>D42-AA42</f>
        <v>1.2896307489999996</v>
      </c>
      <c r="M42">
        <v>1</v>
      </c>
      <c r="N42">
        <v>-1.2541103</v>
      </c>
      <c r="O42">
        <v>4.0308898979999999</v>
      </c>
      <c r="P42">
        <f>ABS(N42-O42)</f>
        <v>5.2850001979999996</v>
      </c>
      <c r="Q42">
        <f>SUM(P42:P46)</f>
        <v>9.0289173060000003</v>
      </c>
      <c r="R42">
        <f>COUNTA(P42:P46)</f>
        <v>5</v>
      </c>
      <c r="S42">
        <f>Q42/R42</f>
        <v>1.8057834612000001</v>
      </c>
      <c r="V42">
        <f>AVERAGE(S42,S55,S68)</f>
        <v>1.3295212911500001</v>
      </c>
      <c r="X42">
        <v>1</v>
      </c>
      <c r="Y42">
        <v>3.5520449000000003E-2</v>
      </c>
      <c r="Z42">
        <v>4.0308898979999999</v>
      </c>
      <c r="AA42">
        <f t="shared" ref="AA42:AA51" si="9">ABS(Y42-Z42)</f>
        <v>3.995369449</v>
      </c>
      <c r="AB42">
        <f>SUM(AA42:AA51)</f>
        <v>14.052014438</v>
      </c>
      <c r="AC42">
        <f>COUNTA(AA42:AA51)</f>
        <v>10</v>
      </c>
      <c r="AD42">
        <f>AB42/AC42</f>
        <v>1.4052014438</v>
      </c>
      <c r="AG42">
        <f>AVERAGE(AD42,AD55,AD68)</f>
        <v>1.5181064843356218</v>
      </c>
      <c r="AI42">
        <v>1</v>
      </c>
      <c r="AJ42">
        <v>3.5520449000000003E-2</v>
      </c>
      <c r="AK42">
        <v>4.0308898979999999</v>
      </c>
      <c r="AL42">
        <f>ABS(AJ42-AK42)</f>
        <v>3.995369449</v>
      </c>
      <c r="AM42">
        <f>SUM(AL42:AL46)</f>
        <v>10.364770699000001</v>
      </c>
      <c r="AN42">
        <f>COUNTA(AL42:AL46)</f>
        <v>5</v>
      </c>
      <c r="AO42">
        <f>AM42/AN42</f>
        <v>2.0729541398000002</v>
      </c>
      <c r="AR42">
        <f>AVERAGE(AO42,AO55,AO68)</f>
        <v>1.9789350047127237</v>
      </c>
    </row>
    <row r="43" spans="1:44" x14ac:dyDescent="0.25">
      <c r="A43">
        <v>1</v>
      </c>
      <c r="B43">
        <v>1.6975129</v>
      </c>
      <c r="C43">
        <v>1.3359216949999999</v>
      </c>
      <c r="D43">
        <f t="shared" ref="D43:D51" si="10">ABS(B43-C43)</f>
        <v>0.36159120500000008</v>
      </c>
      <c r="K43">
        <f t="shared" ref="K43:K51" si="11">D43-AA43</f>
        <v>-0.99437000200000014</v>
      </c>
      <c r="M43">
        <v>1</v>
      </c>
      <c r="N43">
        <v>1.6975129</v>
      </c>
      <c r="O43">
        <v>1.3359216949999999</v>
      </c>
      <c r="P43">
        <f t="shared" ref="P43:P46" si="12">ABS(N43-O43)</f>
        <v>0.36159120500000008</v>
      </c>
      <c r="X43">
        <v>1</v>
      </c>
      <c r="Y43">
        <v>2.6918829020000001</v>
      </c>
      <c r="Z43">
        <v>1.3359216949999999</v>
      </c>
      <c r="AA43">
        <f t="shared" si="9"/>
        <v>1.3559612070000002</v>
      </c>
      <c r="AI43">
        <v>1</v>
      </c>
      <c r="AJ43">
        <v>2.6918829020000001</v>
      </c>
      <c r="AK43">
        <v>1.3359216949999999</v>
      </c>
      <c r="AL43">
        <f t="shared" ref="AL43:AL46" si="13">ABS(AJ43-AK43)</f>
        <v>1.3559612070000002</v>
      </c>
    </row>
    <row r="44" spans="1:44" x14ac:dyDescent="0.25">
      <c r="A44">
        <v>1</v>
      </c>
      <c r="B44">
        <v>1.1925116</v>
      </c>
      <c r="C44">
        <v>2.7075167250000001</v>
      </c>
      <c r="D44">
        <f t="shared" si="10"/>
        <v>1.5150051250000001</v>
      </c>
      <c r="K44">
        <f t="shared" si="11"/>
        <v>-0.19729380400000007</v>
      </c>
      <c r="M44">
        <v>1</v>
      </c>
      <c r="N44">
        <v>1.1925116</v>
      </c>
      <c r="O44">
        <v>2.7075167250000001</v>
      </c>
      <c r="P44">
        <f t="shared" si="12"/>
        <v>1.5150051250000001</v>
      </c>
      <c r="X44">
        <v>1</v>
      </c>
      <c r="Y44">
        <v>0.99521779600000004</v>
      </c>
      <c r="Z44">
        <v>2.7075167250000001</v>
      </c>
      <c r="AA44">
        <f t="shared" si="9"/>
        <v>1.7122989290000001</v>
      </c>
      <c r="AI44">
        <v>1</v>
      </c>
      <c r="AJ44">
        <v>0.99521779600000004</v>
      </c>
      <c r="AK44">
        <v>2.7075167250000001</v>
      </c>
      <c r="AL44">
        <f t="shared" si="13"/>
        <v>1.7122989290000001</v>
      </c>
    </row>
    <row r="45" spans="1:44" x14ac:dyDescent="0.25">
      <c r="A45">
        <v>1</v>
      </c>
      <c r="B45">
        <v>0.46413105999999998</v>
      </c>
      <c r="C45">
        <v>1.0608758069999999</v>
      </c>
      <c r="D45">
        <f t="shared" si="10"/>
        <v>0.59674474700000002</v>
      </c>
      <c r="K45">
        <f t="shared" si="11"/>
        <v>-0.67523388299999998</v>
      </c>
      <c r="M45">
        <v>1</v>
      </c>
      <c r="N45">
        <v>0.46413105999999998</v>
      </c>
      <c r="O45">
        <v>1.0608758069999999</v>
      </c>
      <c r="P45">
        <f t="shared" si="12"/>
        <v>0.59674474700000002</v>
      </c>
      <c r="X45">
        <v>1</v>
      </c>
      <c r="Y45">
        <v>-0.211102823</v>
      </c>
      <c r="Z45">
        <v>1.0608758069999999</v>
      </c>
      <c r="AA45">
        <f t="shared" si="9"/>
        <v>1.27197863</v>
      </c>
      <c r="AI45">
        <v>1</v>
      </c>
      <c r="AJ45">
        <v>-0.211102823</v>
      </c>
      <c r="AK45">
        <v>1.0608758069999999</v>
      </c>
      <c r="AL45">
        <f t="shared" si="13"/>
        <v>1.27197863</v>
      </c>
    </row>
    <row r="46" spans="1:44" x14ac:dyDescent="0.25">
      <c r="A46">
        <v>1</v>
      </c>
      <c r="B46">
        <v>1.6797010999999999</v>
      </c>
      <c r="C46">
        <v>0.40912506900000001</v>
      </c>
      <c r="D46">
        <f t="shared" si="10"/>
        <v>1.2705760310000001</v>
      </c>
      <c r="K46">
        <f t="shared" si="11"/>
        <v>-0.75858645299999994</v>
      </c>
      <c r="M46">
        <v>1</v>
      </c>
      <c r="N46">
        <v>1.6797010999999999</v>
      </c>
      <c r="O46">
        <v>0.40912506900000001</v>
      </c>
      <c r="P46">
        <f t="shared" si="12"/>
        <v>1.2705760310000001</v>
      </c>
      <c r="X46">
        <v>1</v>
      </c>
      <c r="Y46">
        <v>2.4382875529999999</v>
      </c>
      <c r="Z46">
        <v>0.40912506900000001</v>
      </c>
      <c r="AA46">
        <f t="shared" si="9"/>
        <v>2.029162484</v>
      </c>
      <c r="AI46">
        <v>1</v>
      </c>
      <c r="AJ46">
        <v>2.4382875529999999</v>
      </c>
      <c r="AK46">
        <v>0.40912506900000001</v>
      </c>
      <c r="AL46">
        <f t="shared" si="13"/>
        <v>2.029162484</v>
      </c>
    </row>
    <row r="47" spans="1:44" x14ac:dyDescent="0.25">
      <c r="A47">
        <v>2</v>
      </c>
      <c r="B47">
        <v>0.57384020000000002</v>
      </c>
      <c r="C47">
        <v>-2.5317808000000001E-2</v>
      </c>
      <c r="D47">
        <f t="shared" si="10"/>
        <v>0.59915800800000008</v>
      </c>
      <c r="K47">
        <f t="shared" si="11"/>
        <v>0.44448767800000011</v>
      </c>
      <c r="X47">
        <v>2</v>
      </c>
      <c r="Y47">
        <v>-0.17998813799999999</v>
      </c>
      <c r="Z47">
        <v>-2.5317808000000001E-2</v>
      </c>
      <c r="AA47">
        <f t="shared" si="9"/>
        <v>0.15467032999999999</v>
      </c>
    </row>
    <row r="48" spans="1:44" x14ac:dyDescent="0.25">
      <c r="A48">
        <v>2</v>
      </c>
      <c r="B48">
        <v>6.4245045000000001E-2</v>
      </c>
      <c r="C48">
        <v>-1.514127733</v>
      </c>
      <c r="D48">
        <f t="shared" si="10"/>
        <v>1.5783727780000001</v>
      </c>
      <c r="K48">
        <f t="shared" si="11"/>
        <v>0.40971167600000014</v>
      </c>
      <c r="X48">
        <v>2</v>
      </c>
      <c r="Y48">
        <v>-0.34546663100000002</v>
      </c>
      <c r="Z48">
        <v>-1.514127733</v>
      </c>
      <c r="AA48">
        <f t="shared" si="9"/>
        <v>1.168661102</v>
      </c>
    </row>
    <row r="49" spans="1:41" x14ac:dyDescent="0.25">
      <c r="A49">
        <v>2</v>
      </c>
      <c r="B49">
        <v>-0.11710471</v>
      </c>
      <c r="C49">
        <v>-1.386294361</v>
      </c>
      <c r="D49">
        <f t="shared" si="10"/>
        <v>1.269189651</v>
      </c>
      <c r="K49">
        <f t="shared" si="11"/>
        <v>0.78831151499999996</v>
      </c>
      <c r="X49">
        <v>2</v>
      </c>
      <c r="Y49">
        <v>-1.8671724970000001</v>
      </c>
      <c r="Z49">
        <v>-1.386294361</v>
      </c>
      <c r="AA49">
        <f t="shared" si="9"/>
        <v>0.48087813600000007</v>
      </c>
    </row>
    <row r="50" spans="1:41" x14ac:dyDescent="0.25">
      <c r="A50">
        <v>2</v>
      </c>
      <c r="B50">
        <v>-4.0062530000000001</v>
      </c>
      <c r="C50">
        <v>-1.807888851</v>
      </c>
      <c r="D50">
        <f t="shared" si="10"/>
        <v>2.1983641490000001</v>
      </c>
      <c r="K50">
        <f t="shared" si="11"/>
        <v>0.66299857600000012</v>
      </c>
      <c r="X50">
        <v>2</v>
      </c>
      <c r="Y50">
        <v>-3.3432544239999999</v>
      </c>
      <c r="Z50">
        <v>-1.807888851</v>
      </c>
      <c r="AA50">
        <f t="shared" si="9"/>
        <v>1.535365573</v>
      </c>
    </row>
    <row r="51" spans="1:41" x14ac:dyDescent="0.25">
      <c r="A51">
        <v>2</v>
      </c>
      <c r="B51">
        <v>-0.67303115000000002</v>
      </c>
      <c r="C51">
        <v>-1.5847453</v>
      </c>
      <c r="D51">
        <f t="shared" si="10"/>
        <v>0.91171415</v>
      </c>
      <c r="K51">
        <f t="shared" si="11"/>
        <v>0.56404555199999995</v>
      </c>
      <c r="X51">
        <v>2</v>
      </c>
      <c r="Y51">
        <v>-1.9324138980000001</v>
      </c>
      <c r="Z51">
        <v>-1.5847453</v>
      </c>
      <c r="AA51">
        <f t="shared" si="9"/>
        <v>0.34766859800000005</v>
      </c>
    </row>
    <row r="53" spans="1:41" x14ac:dyDescent="0.25">
      <c r="B53" t="s">
        <v>59</v>
      </c>
      <c r="N53" t="s">
        <v>59</v>
      </c>
    </row>
    <row r="54" spans="1:41" x14ac:dyDescent="0.25">
      <c r="A54" t="s">
        <v>38</v>
      </c>
      <c r="B54" t="s">
        <v>52</v>
      </c>
      <c r="C54" t="s">
        <v>39</v>
      </c>
      <c r="D54" t="s">
        <v>53</v>
      </c>
      <c r="E54" t="s">
        <v>54</v>
      </c>
      <c r="F54" t="s">
        <v>55</v>
      </c>
      <c r="G54" t="s">
        <v>56</v>
      </c>
      <c r="M54" t="s">
        <v>38</v>
      </c>
      <c r="N54" t="s">
        <v>52</v>
      </c>
      <c r="O54" t="s">
        <v>39</v>
      </c>
      <c r="P54" t="s">
        <v>53</v>
      </c>
      <c r="Q54" t="s">
        <v>54</v>
      </c>
      <c r="R54" t="s">
        <v>55</v>
      </c>
      <c r="S54" t="s">
        <v>56</v>
      </c>
      <c r="X54" t="s">
        <v>38</v>
      </c>
      <c r="Y54" t="s">
        <v>52</v>
      </c>
      <c r="Z54" t="s">
        <v>39</v>
      </c>
      <c r="AA54" t="s">
        <v>53</v>
      </c>
      <c r="AB54" t="s">
        <v>54</v>
      </c>
      <c r="AC54" t="s">
        <v>55</v>
      </c>
      <c r="AD54" t="s">
        <v>56</v>
      </c>
      <c r="AI54" t="s">
        <v>38</v>
      </c>
      <c r="AJ54" t="s">
        <v>52</v>
      </c>
      <c r="AK54" t="s">
        <v>39</v>
      </c>
      <c r="AL54" t="s">
        <v>53</v>
      </c>
      <c r="AM54" t="s">
        <v>54</v>
      </c>
      <c r="AN54" t="s">
        <v>55</v>
      </c>
      <c r="AO54" t="s">
        <v>56</v>
      </c>
    </row>
    <row r="55" spans="1:41" x14ac:dyDescent="0.25">
      <c r="A55">
        <v>1</v>
      </c>
      <c r="B55">
        <v>2.7947426000000002</v>
      </c>
      <c r="C55">
        <v>2.2680247040000001</v>
      </c>
      <c r="D55">
        <f>ABS(B55-C55)</f>
        <v>0.52671789600000007</v>
      </c>
      <c r="E55">
        <f>SUM(D55:D64)</f>
        <v>11.658112309</v>
      </c>
      <c r="F55">
        <f>COUNTA(D55:D64)</f>
        <v>10</v>
      </c>
      <c r="G55">
        <f>E55/F55</f>
        <v>1.1658112308999999</v>
      </c>
      <c r="M55">
        <v>1</v>
      </c>
      <c r="N55">
        <v>2.7947426000000002</v>
      </c>
      <c r="O55">
        <v>2.2680247040000001</v>
      </c>
      <c r="P55">
        <f>ABS(N55-O55)</f>
        <v>0.52671789600000007</v>
      </c>
      <c r="Q55">
        <f>SUM(P55:P58)</f>
        <v>3.4017278160000002</v>
      </c>
      <c r="R55">
        <f>COUNTA(P55:P58)</f>
        <v>4</v>
      </c>
      <c r="S55">
        <f>Q55/R55</f>
        <v>0.85043195400000005</v>
      </c>
      <c r="X55">
        <v>1</v>
      </c>
      <c r="Y55">
        <v>2.9250821720000002</v>
      </c>
      <c r="Z55">
        <v>2.2680247040000001</v>
      </c>
      <c r="AA55">
        <f>ABS(Y55-Z55)</f>
        <v>0.65705746800000009</v>
      </c>
      <c r="AB55">
        <f>SUM(AA55:AA64)</f>
        <v>14.188553557999999</v>
      </c>
      <c r="AC55">
        <f>COUNTA(AA55:AA64)</f>
        <v>10</v>
      </c>
      <c r="AD55">
        <f>AB55/AC55</f>
        <v>1.4188553557999999</v>
      </c>
      <c r="AI55">
        <v>1</v>
      </c>
      <c r="AJ55">
        <v>2.9250821720000002</v>
      </c>
      <c r="AK55">
        <v>2.2680247040000001</v>
      </c>
      <c r="AL55">
        <f>ABS(AJ55-AK55)</f>
        <v>0.65705746800000009</v>
      </c>
      <c r="AM55">
        <f>SUM(AL55:AL58)</f>
        <v>6.3249958250000002</v>
      </c>
      <c r="AN55">
        <f>COUNTA(AL55:AL58)</f>
        <v>4</v>
      </c>
      <c r="AO55">
        <f>AM55/AN55</f>
        <v>1.5812489562500001</v>
      </c>
    </row>
    <row r="56" spans="1:41" x14ac:dyDescent="0.25">
      <c r="A56">
        <v>1</v>
      </c>
      <c r="B56">
        <v>0.58217810000000003</v>
      </c>
      <c r="C56">
        <v>1.225744081</v>
      </c>
      <c r="D56">
        <f t="shared" ref="D56:D64" si="14">ABS(B56-C56)</f>
        <v>0.64356598099999995</v>
      </c>
      <c r="M56">
        <v>1</v>
      </c>
      <c r="N56">
        <v>0.58217810000000003</v>
      </c>
      <c r="O56">
        <v>1.225744081</v>
      </c>
      <c r="P56">
        <f t="shared" ref="P56" si="15">ABS(N56-O56)</f>
        <v>0.64356598099999995</v>
      </c>
      <c r="X56">
        <v>1</v>
      </c>
      <c r="Y56">
        <v>-0.27475282600000001</v>
      </c>
      <c r="Z56">
        <v>1.225744081</v>
      </c>
      <c r="AA56">
        <f t="shared" ref="AA56:AA64" si="16">ABS(Y56-Z56)</f>
        <v>1.500496907</v>
      </c>
      <c r="AI56">
        <v>1</v>
      </c>
      <c r="AJ56">
        <v>-0.27475282600000001</v>
      </c>
      <c r="AK56">
        <v>1.225744081</v>
      </c>
      <c r="AL56">
        <f t="shared" ref="AL56" si="17">ABS(AJ56-AK56)</f>
        <v>1.500496907</v>
      </c>
    </row>
    <row r="57" spans="1:41" x14ac:dyDescent="0.25">
      <c r="A57">
        <v>1</v>
      </c>
      <c r="B57">
        <v>0.56993649999999996</v>
      </c>
      <c r="C57">
        <v>0.82728463900000004</v>
      </c>
      <c r="D57">
        <f t="shared" si="14"/>
        <v>0.25734813900000009</v>
      </c>
      <c r="M57">
        <v>1</v>
      </c>
      <c r="N57">
        <v>0.56993649999999996</v>
      </c>
      <c r="O57">
        <v>0.82728463900000004</v>
      </c>
      <c r="P57">
        <f>ABS(N57-O57)</f>
        <v>0.25734813900000009</v>
      </c>
      <c r="X57">
        <v>1</v>
      </c>
      <c r="Y57">
        <v>-0.31167609400000001</v>
      </c>
      <c r="Z57">
        <v>0.82728463900000004</v>
      </c>
      <c r="AA57">
        <f t="shared" si="16"/>
        <v>1.138960733</v>
      </c>
      <c r="AI57">
        <v>1</v>
      </c>
      <c r="AJ57">
        <v>-0.31167609400000001</v>
      </c>
      <c r="AK57">
        <v>0.82728463900000004</v>
      </c>
      <c r="AL57">
        <f>ABS(AJ57-AK57)</f>
        <v>1.138960733</v>
      </c>
    </row>
    <row r="58" spans="1:41" x14ac:dyDescent="0.25">
      <c r="A58">
        <v>1</v>
      </c>
      <c r="B58">
        <v>-1.4049824</v>
      </c>
      <c r="C58">
        <v>0.56911339999999999</v>
      </c>
      <c r="D58">
        <f t="shared" si="14"/>
        <v>1.9740958</v>
      </c>
      <c r="M58">
        <v>1</v>
      </c>
      <c r="N58">
        <v>-1.4049824</v>
      </c>
      <c r="O58">
        <v>0.56911339999999999</v>
      </c>
      <c r="P58">
        <f t="shared" ref="P58" si="18">ABS(N58-O58)</f>
        <v>1.9740958</v>
      </c>
      <c r="X58">
        <v>1</v>
      </c>
      <c r="Y58">
        <v>-2.4593673169999999</v>
      </c>
      <c r="Z58">
        <v>0.56911339999999999</v>
      </c>
      <c r="AA58">
        <f t="shared" si="16"/>
        <v>3.0284807169999999</v>
      </c>
      <c r="AI58">
        <v>1</v>
      </c>
      <c r="AJ58">
        <v>-2.4593673169999999</v>
      </c>
      <c r="AK58">
        <v>0.56911339999999999</v>
      </c>
      <c r="AL58">
        <f>ABS(AJ58-AK58)</f>
        <v>3.0284807169999999</v>
      </c>
    </row>
    <row r="59" spans="1:41" x14ac:dyDescent="0.25">
      <c r="A59">
        <v>2</v>
      </c>
      <c r="B59">
        <v>3.3439274000000001</v>
      </c>
      <c r="C59">
        <v>-0.32020526399999999</v>
      </c>
      <c r="D59">
        <f t="shared" si="14"/>
        <v>3.6641326640000003</v>
      </c>
      <c r="X59">
        <v>2</v>
      </c>
      <c r="Y59">
        <v>4.0666288699999997</v>
      </c>
      <c r="Z59">
        <v>-0.32020526399999999</v>
      </c>
      <c r="AA59">
        <f t="shared" si="16"/>
        <v>4.3868341339999999</v>
      </c>
    </row>
    <row r="60" spans="1:41" x14ac:dyDescent="0.25">
      <c r="A60">
        <v>2</v>
      </c>
      <c r="B60">
        <v>0.22649837</v>
      </c>
      <c r="C60">
        <v>-0.28901629499999998</v>
      </c>
      <c r="D60">
        <f t="shared" si="14"/>
        <v>0.51551466499999998</v>
      </c>
      <c r="X60">
        <v>2</v>
      </c>
      <c r="Y60">
        <v>-0.63043259200000001</v>
      </c>
      <c r="Z60">
        <v>-0.28901629499999998</v>
      </c>
      <c r="AA60">
        <f t="shared" si="16"/>
        <v>0.34141629700000004</v>
      </c>
    </row>
    <row r="61" spans="1:41" x14ac:dyDescent="0.25">
      <c r="A61">
        <v>2</v>
      </c>
      <c r="B61">
        <v>-0.65913129999999998</v>
      </c>
      <c r="C61">
        <v>-0.40197121899999999</v>
      </c>
      <c r="D61">
        <f t="shared" si="14"/>
        <v>0.25716008099999998</v>
      </c>
      <c r="X61">
        <v>2</v>
      </c>
      <c r="Y61">
        <v>-1.713516185</v>
      </c>
      <c r="Z61">
        <v>-0.40197121899999999</v>
      </c>
      <c r="AA61">
        <f t="shared" si="16"/>
        <v>1.311544966</v>
      </c>
    </row>
    <row r="62" spans="1:41" x14ac:dyDescent="0.25">
      <c r="A62">
        <v>2</v>
      </c>
      <c r="B62">
        <v>0.43027377</v>
      </c>
      <c r="C62">
        <v>-1.1583622929999999</v>
      </c>
      <c r="D62">
        <f t="shared" si="14"/>
        <v>1.588636063</v>
      </c>
      <c r="X62">
        <v>2</v>
      </c>
      <c r="Y62">
        <v>-0.42665724799999999</v>
      </c>
      <c r="Z62">
        <v>-1.1583622929999999</v>
      </c>
      <c r="AA62">
        <f t="shared" si="16"/>
        <v>0.731705045</v>
      </c>
    </row>
    <row r="63" spans="1:41" x14ac:dyDescent="0.25">
      <c r="A63">
        <v>2</v>
      </c>
      <c r="B63">
        <v>-0.16336584000000001</v>
      </c>
      <c r="C63">
        <v>-1.8140050780000001</v>
      </c>
      <c r="D63">
        <f t="shared" si="14"/>
        <v>1.6506392380000001</v>
      </c>
      <c r="X63">
        <v>2</v>
      </c>
      <c r="Y63">
        <v>-1.119023742</v>
      </c>
      <c r="Z63">
        <v>-1.8140050780000001</v>
      </c>
      <c r="AA63">
        <f t="shared" si="16"/>
        <v>0.69498133600000012</v>
      </c>
    </row>
    <row r="64" spans="1:41" x14ac:dyDescent="0.25">
      <c r="A64">
        <v>2</v>
      </c>
      <c r="B64">
        <v>-1.0191858</v>
      </c>
      <c r="C64">
        <v>-1.5994875820000001</v>
      </c>
      <c r="D64">
        <f t="shared" si="14"/>
        <v>0.58030178200000004</v>
      </c>
      <c r="X64">
        <v>2</v>
      </c>
      <c r="Y64">
        <v>-1.9965635370000001</v>
      </c>
      <c r="Z64">
        <v>-1.5994875820000001</v>
      </c>
      <c r="AA64">
        <f t="shared" si="16"/>
        <v>0.39707595500000004</v>
      </c>
    </row>
    <row r="66" spans="1:41" x14ac:dyDescent="0.25">
      <c r="B66" t="s">
        <v>60</v>
      </c>
      <c r="N66" t="s">
        <v>60</v>
      </c>
    </row>
    <row r="67" spans="1:41" x14ac:dyDescent="0.25">
      <c r="A67" t="s">
        <v>38</v>
      </c>
      <c r="B67" t="s">
        <v>52</v>
      </c>
      <c r="C67" t="s">
        <v>39</v>
      </c>
      <c r="D67" t="s">
        <v>53</v>
      </c>
      <c r="E67" t="s">
        <v>54</v>
      </c>
      <c r="F67" t="s">
        <v>55</v>
      </c>
      <c r="G67" t="s">
        <v>56</v>
      </c>
      <c r="M67" t="s">
        <v>38</v>
      </c>
      <c r="N67" t="s">
        <v>52</v>
      </c>
      <c r="O67" t="s">
        <v>39</v>
      </c>
      <c r="P67" t="s">
        <v>53</v>
      </c>
      <c r="Q67" t="s">
        <v>54</v>
      </c>
      <c r="R67" t="s">
        <v>55</v>
      </c>
      <c r="S67" t="s">
        <v>56</v>
      </c>
      <c r="X67" t="s">
        <v>38</v>
      </c>
      <c r="Y67" t="s">
        <v>52</v>
      </c>
      <c r="Z67" t="s">
        <v>39</v>
      </c>
      <c r="AA67" t="s">
        <v>53</v>
      </c>
      <c r="AB67" t="s">
        <v>54</v>
      </c>
      <c r="AC67" t="s">
        <v>55</v>
      </c>
      <c r="AD67" t="s">
        <v>56</v>
      </c>
      <c r="AI67" t="s">
        <v>38</v>
      </c>
      <c r="AJ67" t="s">
        <v>52</v>
      </c>
      <c r="AK67" t="s">
        <v>39</v>
      </c>
      <c r="AL67" t="s">
        <v>53</v>
      </c>
      <c r="AM67" t="s">
        <v>54</v>
      </c>
      <c r="AN67" t="s">
        <v>55</v>
      </c>
      <c r="AO67" t="s">
        <v>56</v>
      </c>
    </row>
    <row r="68" spans="1:41" x14ac:dyDescent="0.25">
      <c r="A68">
        <v>1</v>
      </c>
      <c r="B68">
        <v>2.7782562</v>
      </c>
      <c r="C68">
        <v>1.179147183</v>
      </c>
      <c r="D68">
        <f t="shared" ref="D68:D76" si="19">ABS(B68-C68)</f>
        <v>1.599109017</v>
      </c>
      <c r="E68">
        <f>SUM(D68:D76)</f>
        <v>12.852112146000001</v>
      </c>
      <c r="F68">
        <f>COUNTA(D68:D76)</f>
        <v>9</v>
      </c>
      <c r="G68">
        <f>E68/F68</f>
        <v>1.4280124606666669</v>
      </c>
      <c r="M68">
        <v>1</v>
      </c>
      <c r="N68">
        <v>2.7782562</v>
      </c>
      <c r="O68">
        <v>1.179147183</v>
      </c>
      <c r="P68">
        <f>ABS(N68-O68)</f>
        <v>1.599109017</v>
      </c>
      <c r="Q68">
        <f>SUM(P68:P71)</f>
        <v>5.3293938330000001</v>
      </c>
      <c r="R68">
        <f>COUNTA(P68:P71)</f>
        <v>4</v>
      </c>
      <c r="S68">
        <f>Q68/R68</f>
        <v>1.33234845825</v>
      </c>
      <c r="X68">
        <v>1</v>
      </c>
      <c r="Y68">
        <v>3.5867960258565099</v>
      </c>
      <c r="Z68">
        <v>1.179147183</v>
      </c>
      <c r="AA68">
        <f>ABS(Y68-Z68)</f>
        <v>2.4076488428565099</v>
      </c>
      <c r="AB68">
        <f>SUM(AA68:AA76)</f>
        <v>15.572363880661783</v>
      </c>
      <c r="AC68">
        <f>COUNTA(AA68:AA76)</f>
        <v>9</v>
      </c>
      <c r="AD68">
        <f>AB68/AC68</f>
        <v>1.7302626534068648</v>
      </c>
      <c r="AI68">
        <v>1</v>
      </c>
      <c r="AJ68">
        <v>3.5867960258565099</v>
      </c>
      <c r="AK68">
        <v>1.179147183</v>
      </c>
      <c r="AL68">
        <f>ABS(AJ68-AK68)</f>
        <v>2.4076488428565099</v>
      </c>
      <c r="AM68">
        <f>SUM(AL68:AL71)</f>
        <v>9.1304076723526855</v>
      </c>
      <c r="AN68">
        <f>COUNTA(AL68:AL71)</f>
        <v>4</v>
      </c>
      <c r="AO68">
        <f>AM68/AN68</f>
        <v>2.2826019180881714</v>
      </c>
    </row>
    <row r="69" spans="1:41" x14ac:dyDescent="0.25">
      <c r="A69">
        <v>1</v>
      </c>
      <c r="B69">
        <v>0.92123529999999998</v>
      </c>
      <c r="C69">
        <v>1.297790963</v>
      </c>
      <c r="D69">
        <f t="shared" si="19"/>
        <v>0.37655566299999998</v>
      </c>
      <c r="M69">
        <v>1</v>
      </c>
      <c r="N69">
        <v>0.92123529999999998</v>
      </c>
      <c r="O69">
        <v>1.297790963</v>
      </c>
      <c r="P69">
        <f t="shared" ref="P69:P71" si="20">ABS(N69-O69)</f>
        <v>0.37655566299999998</v>
      </c>
      <c r="X69">
        <v>1</v>
      </c>
      <c r="Y69">
        <v>0.52016729122301397</v>
      </c>
      <c r="Z69">
        <v>1.297790963</v>
      </c>
      <c r="AA69">
        <f t="shared" ref="AA69:AA76" si="21">ABS(Y69-Z69)</f>
        <v>0.77762367177698599</v>
      </c>
      <c r="AI69">
        <v>1</v>
      </c>
      <c r="AJ69">
        <v>0.52016729122301397</v>
      </c>
      <c r="AK69">
        <v>1.297790963</v>
      </c>
      <c r="AL69">
        <f t="shared" ref="AL69:AL71" si="22">ABS(AJ69-AK69)</f>
        <v>0.77762367177698599</v>
      </c>
    </row>
    <row r="70" spans="1:41" x14ac:dyDescent="0.25">
      <c r="A70">
        <v>1</v>
      </c>
      <c r="B70">
        <v>2.2601073</v>
      </c>
      <c r="C70">
        <v>0.68662596399999998</v>
      </c>
      <c r="D70">
        <f t="shared" si="19"/>
        <v>1.573481336</v>
      </c>
      <c r="M70">
        <v>1</v>
      </c>
      <c r="N70">
        <v>2.2601073</v>
      </c>
      <c r="O70">
        <v>0.68662596399999998</v>
      </c>
      <c r="P70">
        <f t="shared" si="20"/>
        <v>1.573481336</v>
      </c>
      <c r="X70">
        <v>1</v>
      </c>
      <c r="Y70">
        <v>3.01314732139971</v>
      </c>
      <c r="Z70">
        <v>0.68662596399999998</v>
      </c>
      <c r="AA70">
        <f t="shared" si="21"/>
        <v>2.3265213573997099</v>
      </c>
      <c r="AI70">
        <v>1</v>
      </c>
      <c r="AJ70">
        <v>3.01314732139971</v>
      </c>
      <c r="AK70">
        <v>0.68662596399999998</v>
      </c>
      <c r="AL70">
        <f t="shared" si="22"/>
        <v>2.3265213573997099</v>
      </c>
    </row>
    <row r="71" spans="1:41" x14ac:dyDescent="0.25">
      <c r="A71">
        <v>1</v>
      </c>
      <c r="B71">
        <v>-1.3454181000000001</v>
      </c>
      <c r="C71">
        <v>0.434829717</v>
      </c>
      <c r="D71">
        <f t="shared" si="19"/>
        <v>1.780247817</v>
      </c>
      <c r="M71">
        <v>1</v>
      </c>
      <c r="N71">
        <v>-1.3454181000000001</v>
      </c>
      <c r="O71">
        <v>0.434829717</v>
      </c>
      <c r="P71">
        <f t="shared" si="20"/>
        <v>1.780247817</v>
      </c>
      <c r="X71">
        <v>1</v>
      </c>
      <c r="Y71">
        <v>-3.1837840833194799</v>
      </c>
      <c r="Z71">
        <v>0.434829717</v>
      </c>
      <c r="AA71">
        <f t="shared" si="21"/>
        <v>3.6186138003194799</v>
      </c>
      <c r="AI71">
        <v>1</v>
      </c>
      <c r="AJ71">
        <v>-3.1837840833194799</v>
      </c>
      <c r="AK71">
        <v>0.434829717</v>
      </c>
      <c r="AL71">
        <f t="shared" si="22"/>
        <v>3.6186138003194799</v>
      </c>
    </row>
    <row r="72" spans="1:41" x14ac:dyDescent="0.25">
      <c r="A72">
        <v>2</v>
      </c>
      <c r="B72">
        <v>0.28659224999999999</v>
      </c>
      <c r="C72">
        <v>-7.2570693000000006E-2</v>
      </c>
      <c r="D72">
        <f t="shared" si="19"/>
        <v>0.35916294300000001</v>
      </c>
      <c r="X72">
        <v>2</v>
      </c>
      <c r="Y72">
        <v>-0.114475751001508</v>
      </c>
      <c r="Z72">
        <v>-7.2570693000000006E-2</v>
      </c>
      <c r="AA72">
        <f t="shared" si="21"/>
        <v>4.1905058001507997E-2</v>
      </c>
    </row>
    <row r="73" spans="1:41" x14ac:dyDescent="0.25">
      <c r="A73">
        <v>2</v>
      </c>
      <c r="B73">
        <v>-1.7296058999999999</v>
      </c>
      <c r="C73">
        <v>-8.4469157000000003E-2</v>
      </c>
      <c r="D73">
        <f t="shared" si="19"/>
        <v>1.6451367429999999</v>
      </c>
      <c r="X73">
        <v>2</v>
      </c>
      <c r="Y73">
        <v>-1.0676420556271899</v>
      </c>
      <c r="Z73">
        <v>-8.4469157000000003E-2</v>
      </c>
      <c r="AA73">
        <f t="shared" si="21"/>
        <v>0.98317289862718993</v>
      </c>
    </row>
    <row r="74" spans="1:41" x14ac:dyDescent="0.25">
      <c r="A74">
        <v>2</v>
      </c>
      <c r="B74">
        <v>-0.97571205999999999</v>
      </c>
      <c r="C74">
        <v>-1.0847093830000001</v>
      </c>
      <c r="D74">
        <f t="shared" si="19"/>
        <v>0.10899732300000009</v>
      </c>
      <c r="X74">
        <v>2</v>
      </c>
      <c r="Y74">
        <v>-2.44408056827467</v>
      </c>
      <c r="Z74">
        <v>-1.0847093830000001</v>
      </c>
      <c r="AA74">
        <f t="shared" si="21"/>
        <v>1.3593711852746699</v>
      </c>
    </row>
    <row r="75" spans="1:41" x14ac:dyDescent="0.25">
      <c r="A75">
        <v>2</v>
      </c>
      <c r="B75">
        <v>-4.4520464000000004</v>
      </c>
      <c r="C75">
        <v>-0.42007126</v>
      </c>
      <c r="D75">
        <f t="shared" si="19"/>
        <v>4.0319751400000001</v>
      </c>
      <c r="X75">
        <v>2</v>
      </c>
      <c r="Y75">
        <v>-4.4261939076666499</v>
      </c>
      <c r="Z75">
        <v>-0.42007126</v>
      </c>
      <c r="AA75">
        <f t="shared" si="21"/>
        <v>4.0061226476666496</v>
      </c>
    </row>
    <row r="76" spans="1:41" x14ac:dyDescent="0.25">
      <c r="A76">
        <v>2</v>
      </c>
      <c r="B76">
        <v>-0.4004104</v>
      </c>
      <c r="C76">
        <v>-1.7778565639999999</v>
      </c>
      <c r="D76">
        <f t="shared" si="19"/>
        <v>1.377446164</v>
      </c>
      <c r="X76">
        <v>2</v>
      </c>
      <c r="Y76">
        <v>-1.72647214526092</v>
      </c>
      <c r="Z76">
        <v>-1.7778565639999999</v>
      </c>
      <c r="AA76">
        <f t="shared" si="21"/>
        <v>5.1384418739079951E-2</v>
      </c>
    </row>
    <row r="79" spans="1:41" x14ac:dyDescent="0.25">
      <c r="B79" t="s">
        <v>63</v>
      </c>
      <c r="N79" t="s">
        <v>63</v>
      </c>
      <c r="O79" t="s">
        <v>62</v>
      </c>
      <c r="Y79" t="s">
        <v>63</v>
      </c>
      <c r="AJ79" t="s">
        <v>63</v>
      </c>
      <c r="AK79" t="s">
        <v>62</v>
      </c>
    </row>
    <row r="80" spans="1:41" x14ac:dyDescent="0.25">
      <c r="B80" t="s">
        <v>58</v>
      </c>
      <c r="N80" t="s">
        <v>58</v>
      </c>
    </row>
    <row r="81" spans="1:44" x14ac:dyDescent="0.25">
      <c r="A81" t="s">
        <v>38</v>
      </c>
      <c r="B81" t="s">
        <v>57</v>
      </c>
      <c r="C81" t="s">
        <v>50</v>
      </c>
      <c r="D81" t="s">
        <v>53</v>
      </c>
      <c r="E81" t="s">
        <v>54</v>
      </c>
      <c r="F81" t="s">
        <v>55</v>
      </c>
      <c r="G81" t="s">
        <v>56</v>
      </c>
      <c r="J81" t="s">
        <v>61</v>
      </c>
      <c r="M81" t="s">
        <v>38</v>
      </c>
      <c r="N81" t="s">
        <v>57</v>
      </c>
      <c r="O81" t="s">
        <v>50</v>
      </c>
      <c r="P81" t="s">
        <v>53</v>
      </c>
      <c r="Q81" t="s">
        <v>54</v>
      </c>
      <c r="R81" t="s">
        <v>55</v>
      </c>
      <c r="S81" t="s">
        <v>56</v>
      </c>
      <c r="V81" t="s">
        <v>61</v>
      </c>
      <c r="X81" t="s">
        <v>38</v>
      </c>
      <c r="Y81" t="s">
        <v>57</v>
      </c>
      <c r="Z81" t="s">
        <v>50</v>
      </c>
      <c r="AA81" t="s">
        <v>53</v>
      </c>
      <c r="AB81" t="s">
        <v>54</v>
      </c>
      <c r="AC81" t="s">
        <v>55</v>
      </c>
      <c r="AD81" t="s">
        <v>56</v>
      </c>
      <c r="AG81" t="s">
        <v>61</v>
      </c>
      <c r="AI81" t="s">
        <v>38</v>
      </c>
      <c r="AJ81" t="s">
        <v>57</v>
      </c>
      <c r="AK81" t="s">
        <v>50</v>
      </c>
      <c r="AL81" t="s">
        <v>53</v>
      </c>
      <c r="AM81" t="s">
        <v>54</v>
      </c>
      <c r="AN81" t="s">
        <v>55</v>
      </c>
      <c r="AO81" t="s">
        <v>56</v>
      </c>
      <c r="AR81" t="s">
        <v>61</v>
      </c>
    </row>
    <row r="82" spans="1:44" x14ac:dyDescent="0.25">
      <c r="A82">
        <v>1</v>
      </c>
      <c r="B82">
        <f>EXP(B42)</f>
        <v>0.28532959306827466</v>
      </c>
      <c r="C82">
        <v>56.311</v>
      </c>
      <c r="D82">
        <f>ABS(B82-C82)</f>
        <v>56.025670406931724</v>
      </c>
      <c r="E82">
        <f>SUM(D82:D91)</f>
        <v>77.272768783198615</v>
      </c>
      <c r="F82">
        <f>COUNTA(D82:D91)</f>
        <v>10</v>
      </c>
      <c r="G82">
        <f>E82/F82</f>
        <v>7.7272768783198611</v>
      </c>
      <c r="J82">
        <f>AVERAGE(G82,G95,G108)</f>
        <v>4.8652013063624917</v>
      </c>
      <c r="K82">
        <f>D82-AA82</f>
        <v>0.75082924293172226</v>
      </c>
      <c r="M82">
        <v>1</v>
      </c>
      <c r="N82">
        <v>0.28532959306827466</v>
      </c>
      <c r="O82">
        <v>56.311</v>
      </c>
      <c r="P82">
        <f>ABS(N82-O82)</f>
        <v>56.025670406931724</v>
      </c>
      <c r="Q82">
        <f>SUM(P82:P86)</f>
        <v>74.535894064342955</v>
      </c>
      <c r="R82">
        <f>COUNTA(P82:P86)</f>
        <v>5</v>
      </c>
      <c r="S82">
        <f>Q82/R82</f>
        <v>14.90717881286859</v>
      </c>
      <c r="V82">
        <f>AVERAGE(S82,S95,S108)</f>
        <v>7.7377837974784462</v>
      </c>
      <c r="X82">
        <v>1</v>
      </c>
      <c r="Y82">
        <v>1.036158836</v>
      </c>
      <c r="Z82">
        <v>56.311</v>
      </c>
      <c r="AA82">
        <f>ABS(Y82-Z82)</f>
        <v>55.274841164000001</v>
      </c>
      <c r="AB82">
        <f>SUM(AA82:AA91)</f>
        <v>91.456517506000012</v>
      </c>
      <c r="AC82">
        <f>COUNTA(AA82:AA91)</f>
        <v>10</v>
      </c>
      <c r="AD82">
        <f>AB82/AC82</f>
        <v>9.1456517506000008</v>
      </c>
      <c r="AG82">
        <f>AVERAGE(AD82,AD95,AD108)</f>
        <v>7.5900773284384249</v>
      </c>
      <c r="AI82">
        <v>1</v>
      </c>
      <c r="AJ82">
        <v>1.036158836</v>
      </c>
      <c r="AK82">
        <v>56.311</v>
      </c>
      <c r="AL82">
        <f>ABS(AJ82-AK82)</f>
        <v>55.274841164000001</v>
      </c>
      <c r="AM82">
        <f>SUM(AL82:AL86)</f>
        <v>90.544587801999995</v>
      </c>
      <c r="AN82">
        <f>COUNTA(AL82:AL86)</f>
        <v>5</v>
      </c>
      <c r="AO82">
        <f>AM82/AN82</f>
        <v>18.108917560399998</v>
      </c>
      <c r="AR82">
        <f>AVERAGE(AO82,AO95,AO108)</f>
        <v>11.833936873384006</v>
      </c>
    </row>
    <row r="83" spans="1:44" x14ac:dyDescent="0.25">
      <c r="A83">
        <v>1</v>
      </c>
      <c r="B83">
        <f t="shared" ref="B83:B91" si="23">EXP(B43)</f>
        <v>5.4603500531486739</v>
      </c>
      <c r="C83">
        <v>3.8035000000000001</v>
      </c>
      <c r="D83">
        <f t="shared" ref="D83:D91" si="24">ABS(B83-C83)</f>
        <v>1.6568500531486738</v>
      </c>
      <c r="K83">
        <f t="shared" ref="K83:K91" si="25">D83-AA83</f>
        <v>-9.2990902968513272</v>
      </c>
      <c r="M83">
        <v>1</v>
      </c>
      <c r="N83">
        <v>5.4603500531486739</v>
      </c>
      <c r="O83">
        <v>3.8035000000000001</v>
      </c>
      <c r="P83">
        <f t="shared" ref="P83:P86" si="26">ABS(N83-O83)</f>
        <v>1.6568500531486738</v>
      </c>
      <c r="X83">
        <v>1</v>
      </c>
      <c r="Y83">
        <v>14.75944035</v>
      </c>
      <c r="Z83">
        <v>3.8035000000000001</v>
      </c>
      <c r="AA83">
        <f t="shared" ref="AA83:AA91" si="27">ABS(Y83-Z83)</f>
        <v>10.955940350000001</v>
      </c>
      <c r="AI83">
        <v>1</v>
      </c>
      <c r="AJ83">
        <v>14.75944035</v>
      </c>
      <c r="AK83">
        <v>3.8035000000000001</v>
      </c>
      <c r="AL83">
        <f t="shared" ref="AL83:AL86" si="28">ABS(AJ83-AK83)</f>
        <v>10.955940350000001</v>
      </c>
    </row>
    <row r="84" spans="1:44" x14ac:dyDescent="0.25">
      <c r="A84">
        <v>1</v>
      </c>
      <c r="B84">
        <f t="shared" si="23"/>
        <v>3.2953474169041352</v>
      </c>
      <c r="C84">
        <v>14.992000000000001</v>
      </c>
      <c r="D84">
        <f t="shared" si="24"/>
        <v>11.696652583095865</v>
      </c>
      <c r="K84">
        <f t="shared" si="25"/>
        <v>-0.59003393290413619</v>
      </c>
      <c r="M84">
        <v>1</v>
      </c>
      <c r="N84">
        <v>3.2953474169041352</v>
      </c>
      <c r="O84">
        <v>14.992000000000001</v>
      </c>
      <c r="P84">
        <f t="shared" si="26"/>
        <v>11.696652583095865</v>
      </c>
      <c r="X84">
        <v>1</v>
      </c>
      <c r="Y84">
        <v>2.7053134839999999</v>
      </c>
      <c r="Z84">
        <v>14.992000000000001</v>
      </c>
      <c r="AA84">
        <f t="shared" si="27"/>
        <v>12.286686516000001</v>
      </c>
      <c r="AI84">
        <v>1</v>
      </c>
      <c r="AJ84">
        <v>2.7053134839999999</v>
      </c>
      <c r="AK84">
        <v>14.992000000000001</v>
      </c>
      <c r="AL84">
        <f t="shared" si="28"/>
        <v>12.286686516000001</v>
      </c>
    </row>
    <row r="85" spans="1:44" x14ac:dyDescent="0.25">
      <c r="A85">
        <v>1</v>
      </c>
      <c r="B85">
        <f t="shared" si="23"/>
        <v>1.5906314249342697</v>
      </c>
      <c r="C85">
        <v>2.8889</v>
      </c>
      <c r="D85">
        <f t="shared" si="24"/>
        <v>1.2982685750657303</v>
      </c>
      <c r="K85">
        <f t="shared" si="25"/>
        <v>-0.78094061693426964</v>
      </c>
      <c r="M85">
        <v>1</v>
      </c>
      <c r="N85">
        <v>1.5906314249342697</v>
      </c>
      <c r="O85">
        <v>2.8889</v>
      </c>
      <c r="P85">
        <f t="shared" si="26"/>
        <v>1.2982685750657303</v>
      </c>
      <c r="X85">
        <v>1</v>
      </c>
      <c r="Y85">
        <v>0.80969080800000004</v>
      </c>
      <c r="Z85">
        <v>2.8889</v>
      </c>
      <c r="AA85">
        <f t="shared" si="27"/>
        <v>2.079209192</v>
      </c>
      <c r="AI85">
        <v>1</v>
      </c>
      <c r="AJ85">
        <v>0.80969080800000004</v>
      </c>
      <c r="AK85">
        <v>2.8889</v>
      </c>
      <c r="AL85">
        <f t="shared" si="28"/>
        <v>2.079209192</v>
      </c>
    </row>
    <row r="86" spans="1:44" x14ac:dyDescent="0.25">
      <c r="A86">
        <v>1</v>
      </c>
      <c r="B86">
        <f t="shared" si="23"/>
        <v>5.3639524461009591</v>
      </c>
      <c r="C86">
        <v>1.5055000000000001</v>
      </c>
      <c r="D86">
        <f t="shared" si="24"/>
        <v>3.8584524461009591</v>
      </c>
      <c r="K86">
        <f t="shared" si="25"/>
        <v>-6.0894581338990417</v>
      </c>
      <c r="M86">
        <v>1</v>
      </c>
      <c r="N86">
        <v>5.3639524461009591</v>
      </c>
      <c r="O86">
        <v>1.5055000000000001</v>
      </c>
      <c r="P86">
        <f t="shared" si="26"/>
        <v>3.8584524461009591</v>
      </c>
      <c r="X86">
        <v>1</v>
      </c>
      <c r="Y86">
        <v>11.45341058</v>
      </c>
      <c r="Z86">
        <v>1.5055000000000001</v>
      </c>
      <c r="AA86">
        <f t="shared" si="27"/>
        <v>9.9479105800000003</v>
      </c>
      <c r="AI86">
        <v>1</v>
      </c>
      <c r="AJ86">
        <v>11.45341058</v>
      </c>
      <c r="AK86">
        <v>1.5055000000000001</v>
      </c>
      <c r="AL86">
        <f t="shared" si="28"/>
        <v>9.9479105800000003</v>
      </c>
    </row>
    <row r="87" spans="1:44" x14ac:dyDescent="0.25">
      <c r="A87">
        <v>2</v>
      </c>
      <c r="B87">
        <f t="shared" si="23"/>
        <v>1.7750706057081369</v>
      </c>
      <c r="C87">
        <v>0.97499999999999998</v>
      </c>
      <c r="D87">
        <f t="shared" si="24"/>
        <v>0.80007060570813693</v>
      </c>
      <c r="K87">
        <f t="shared" si="25"/>
        <v>0.66035072470813694</v>
      </c>
      <c r="X87">
        <v>2</v>
      </c>
      <c r="Y87">
        <v>0.83528011899999999</v>
      </c>
      <c r="Z87">
        <v>0.97499999999999998</v>
      </c>
      <c r="AA87">
        <f t="shared" si="27"/>
        <v>0.13971988099999999</v>
      </c>
    </row>
    <row r="88" spans="1:44" x14ac:dyDescent="0.25">
      <c r="A88">
        <v>2</v>
      </c>
      <c r="B88">
        <f t="shared" si="23"/>
        <v>1.0663536713838273</v>
      </c>
      <c r="C88">
        <v>0.22</v>
      </c>
      <c r="D88">
        <f t="shared" si="24"/>
        <v>0.84635367138382733</v>
      </c>
      <c r="K88">
        <f t="shared" si="25"/>
        <v>0.35846371838382729</v>
      </c>
      <c r="X88">
        <v>2</v>
      </c>
      <c r="Y88">
        <v>0.70788995300000002</v>
      </c>
      <c r="Z88">
        <v>0.22</v>
      </c>
      <c r="AA88">
        <f t="shared" si="27"/>
        <v>0.48788995300000004</v>
      </c>
    </row>
    <row r="89" spans="1:44" x14ac:dyDescent="0.25">
      <c r="A89">
        <v>2</v>
      </c>
      <c r="B89">
        <f t="shared" si="23"/>
        <v>0.88949204957445294</v>
      </c>
      <c r="C89">
        <v>0.25</v>
      </c>
      <c r="D89">
        <f t="shared" si="24"/>
        <v>0.63949204957445294</v>
      </c>
      <c r="K89">
        <f t="shared" si="25"/>
        <v>0.54405211357445293</v>
      </c>
      <c r="X89">
        <v>2</v>
      </c>
      <c r="Y89">
        <v>0.154560064</v>
      </c>
      <c r="Z89">
        <v>0.25</v>
      </c>
      <c r="AA89">
        <f t="shared" si="27"/>
        <v>9.5439936000000003E-2</v>
      </c>
    </row>
    <row r="90" spans="1:44" x14ac:dyDescent="0.25">
      <c r="A90">
        <v>2</v>
      </c>
      <c r="B90">
        <f t="shared" si="23"/>
        <v>1.8201468524411926E-2</v>
      </c>
      <c r="C90">
        <v>0.16400000000000001</v>
      </c>
      <c r="D90">
        <f t="shared" si="24"/>
        <v>0.14579853147558808</v>
      </c>
      <c r="K90">
        <f t="shared" si="25"/>
        <v>1.7120349475588076E-2</v>
      </c>
      <c r="X90">
        <v>2</v>
      </c>
      <c r="Y90">
        <v>3.5321817999999998E-2</v>
      </c>
      <c r="Z90">
        <v>0.16400000000000001</v>
      </c>
      <c r="AA90">
        <f t="shared" si="27"/>
        <v>0.128678182</v>
      </c>
    </row>
    <row r="91" spans="1:44" x14ac:dyDescent="0.25">
      <c r="A91">
        <v>2</v>
      </c>
      <c r="B91">
        <f t="shared" si="23"/>
        <v>0.51015986071364672</v>
      </c>
      <c r="C91">
        <v>0.20499999999999999</v>
      </c>
      <c r="D91">
        <f t="shared" si="24"/>
        <v>0.30515986071364676</v>
      </c>
      <c r="K91">
        <f t="shared" si="25"/>
        <v>0.24495810871364676</v>
      </c>
      <c r="X91">
        <v>2</v>
      </c>
      <c r="Y91">
        <v>0.14479824799999999</v>
      </c>
      <c r="Z91">
        <v>0.20499999999999999</v>
      </c>
      <c r="AA91">
        <f t="shared" si="27"/>
        <v>6.0201751999999997E-2</v>
      </c>
    </row>
    <row r="93" spans="1:44" x14ac:dyDescent="0.25">
      <c r="B93" t="s">
        <v>59</v>
      </c>
      <c r="N93" t="s">
        <v>59</v>
      </c>
    </row>
    <row r="94" spans="1:44" x14ac:dyDescent="0.25">
      <c r="A94" t="s">
        <v>38</v>
      </c>
      <c r="B94" t="s">
        <v>57</v>
      </c>
      <c r="C94" t="s">
        <v>50</v>
      </c>
      <c r="D94" t="s">
        <v>53</v>
      </c>
      <c r="E94" t="s">
        <v>54</v>
      </c>
      <c r="F94" t="s">
        <v>55</v>
      </c>
      <c r="G94" t="s">
        <v>56</v>
      </c>
      <c r="M94" t="s">
        <v>38</v>
      </c>
      <c r="N94" t="s">
        <v>57</v>
      </c>
      <c r="O94" t="s">
        <v>50</v>
      </c>
      <c r="P94" t="s">
        <v>53</v>
      </c>
      <c r="Q94" t="s">
        <v>54</v>
      </c>
      <c r="R94" t="s">
        <v>55</v>
      </c>
      <c r="S94" t="s">
        <v>56</v>
      </c>
      <c r="X94" t="s">
        <v>38</v>
      </c>
      <c r="Y94" t="s">
        <v>57</v>
      </c>
      <c r="Z94" t="s">
        <v>50</v>
      </c>
      <c r="AA94" t="s">
        <v>53</v>
      </c>
      <c r="AB94" t="s">
        <v>54</v>
      </c>
      <c r="AC94" t="s">
        <v>55</v>
      </c>
      <c r="AD94" t="s">
        <v>56</v>
      </c>
      <c r="AI94" t="s">
        <v>38</v>
      </c>
      <c r="AJ94" t="s">
        <v>57</v>
      </c>
      <c r="AK94" t="s">
        <v>50</v>
      </c>
      <c r="AL94" t="s">
        <v>53</v>
      </c>
      <c r="AM94" t="s">
        <v>54</v>
      </c>
      <c r="AN94" t="s">
        <v>55</v>
      </c>
      <c r="AO94" t="s">
        <v>56</v>
      </c>
    </row>
    <row r="95" spans="1:44" x14ac:dyDescent="0.25">
      <c r="A95">
        <v>1</v>
      </c>
      <c r="B95">
        <f>EXP(B55)</f>
        <v>16.35841755452067</v>
      </c>
      <c r="C95">
        <v>9.6602999999999994</v>
      </c>
      <c r="D95">
        <f>ABS(B95-C95)</f>
        <v>6.698117554520671</v>
      </c>
      <c r="E95">
        <f>SUM(D95:D104)</f>
        <v>40.685078560443216</v>
      </c>
      <c r="F95">
        <f>COUNTA(D95:D104)</f>
        <v>10</v>
      </c>
      <c r="G95">
        <f>E95/F95</f>
        <v>4.068507856044322</v>
      </c>
      <c r="M95">
        <v>1</v>
      </c>
      <c r="N95">
        <v>16.35841755452067</v>
      </c>
      <c r="O95">
        <v>9.6602999999999994</v>
      </c>
      <c r="P95">
        <f>ABS(N95-O95)</f>
        <v>6.698117554520671</v>
      </c>
      <c r="Q95">
        <f>SUM(P95:P98)</f>
        <v>10.355158568804963</v>
      </c>
      <c r="R95">
        <f>COUNTA(P95:P98)</f>
        <v>4</v>
      </c>
      <c r="S95">
        <f>Q95/R95</f>
        <v>2.5887896422012409</v>
      </c>
      <c r="X95">
        <v>1</v>
      </c>
      <c r="Y95">
        <v>18.63575732</v>
      </c>
      <c r="Z95">
        <v>9.6602999999999994</v>
      </c>
      <c r="AA95">
        <f>ABS(Y95-Z95)</f>
        <v>8.9754573200000003</v>
      </c>
      <c r="AB95">
        <f>SUM(AA95:AA104)</f>
        <v>73.766273707000011</v>
      </c>
      <c r="AC95">
        <f>COUNTA(AA95:AA104)</f>
        <v>10</v>
      </c>
      <c r="AD95">
        <f>AB95/AC95</f>
        <v>7.3766273707000014</v>
      </c>
      <c r="AI95">
        <v>1</v>
      </c>
      <c r="AJ95">
        <v>18.63575732</v>
      </c>
      <c r="AK95">
        <v>9.6602999999999994</v>
      </c>
      <c r="AL95">
        <f>ABS(AJ95-AK95)</f>
        <v>8.9754573200000003</v>
      </c>
      <c r="AM95">
        <f>SUM(AL95:AL98)</f>
        <v>14.858489745999998</v>
      </c>
      <c r="AN95">
        <f>COUNTA(AL95:AL98)</f>
        <v>4</v>
      </c>
      <c r="AO95">
        <f>AM95/AN95</f>
        <v>3.7146224364999996</v>
      </c>
    </row>
    <row r="96" spans="1:44" x14ac:dyDescent="0.25">
      <c r="A96">
        <v>1</v>
      </c>
      <c r="B96">
        <f t="shared" ref="B96:B104" si="29">EXP(B56)</f>
        <v>1.7899328407236432</v>
      </c>
      <c r="C96">
        <v>3.4066999999999998</v>
      </c>
      <c r="D96">
        <f t="shared" ref="D96:D104" si="30">ABS(B96-C96)</f>
        <v>1.6167671592763566</v>
      </c>
      <c r="M96">
        <v>1</v>
      </c>
      <c r="N96">
        <v>1.7899328407236432</v>
      </c>
      <c r="O96">
        <v>3.4066999999999998</v>
      </c>
      <c r="P96">
        <f t="shared" ref="P96" si="31">ABS(N96-O96)</f>
        <v>1.6167671592763566</v>
      </c>
      <c r="X96">
        <v>1</v>
      </c>
      <c r="Y96">
        <v>0.75975989300000002</v>
      </c>
      <c r="Z96">
        <v>3.4066999999999998</v>
      </c>
      <c r="AA96">
        <f t="shared" ref="AA96:AA104" si="32">ABS(Y96-Z96)</f>
        <v>2.6469401069999998</v>
      </c>
      <c r="AI96">
        <v>1</v>
      </c>
      <c r="AJ96">
        <v>0.75975989300000002</v>
      </c>
      <c r="AK96">
        <v>3.4066999999999998</v>
      </c>
      <c r="AL96">
        <f t="shared" ref="AL96" si="33">ABS(AJ96-AK96)</f>
        <v>2.6469401069999998</v>
      </c>
    </row>
    <row r="97" spans="1:41" x14ac:dyDescent="0.25">
      <c r="A97">
        <v>1</v>
      </c>
      <c r="B97">
        <f t="shared" si="29"/>
        <v>1.768154770040941</v>
      </c>
      <c r="C97">
        <v>2.2871000000000001</v>
      </c>
      <c r="D97">
        <f>ABS(B97-C97)</f>
        <v>0.51894522995905912</v>
      </c>
      <c r="M97">
        <v>1</v>
      </c>
      <c r="N97">
        <v>1.768154770040941</v>
      </c>
      <c r="O97">
        <v>2.2871000000000001</v>
      </c>
      <c r="P97">
        <f>ABS(N97-O97)</f>
        <v>0.51894522995905912</v>
      </c>
      <c r="X97">
        <v>1</v>
      </c>
      <c r="Y97">
        <v>0.73221866000000002</v>
      </c>
      <c r="Z97">
        <v>2.2871000000000001</v>
      </c>
      <c r="AA97">
        <f t="shared" si="32"/>
        <v>1.5548813400000001</v>
      </c>
      <c r="AI97">
        <v>1</v>
      </c>
      <c r="AJ97">
        <v>0.73221866000000002</v>
      </c>
      <c r="AK97">
        <v>2.2871000000000001</v>
      </c>
      <c r="AL97">
        <f>ABS(AJ97-AK97)</f>
        <v>1.5548813400000001</v>
      </c>
    </row>
    <row r="98" spans="1:41" x14ac:dyDescent="0.25">
      <c r="A98">
        <v>1</v>
      </c>
      <c r="B98">
        <f t="shared" si="29"/>
        <v>0.2453713749511226</v>
      </c>
      <c r="C98">
        <v>1.7666999999999999</v>
      </c>
      <c r="D98">
        <f t="shared" si="30"/>
        <v>1.5213286250488773</v>
      </c>
      <c r="M98">
        <v>1</v>
      </c>
      <c r="N98">
        <v>0.2453713749511226</v>
      </c>
      <c r="O98">
        <v>1.7666999999999999</v>
      </c>
      <c r="P98">
        <f t="shared" ref="P98" si="34">ABS(N98-O98)</f>
        <v>1.5213286250488773</v>
      </c>
      <c r="X98">
        <v>1</v>
      </c>
      <c r="Y98">
        <v>8.5489020999999998E-2</v>
      </c>
      <c r="Z98">
        <v>1.7666999999999999</v>
      </c>
      <c r="AA98">
        <f t="shared" si="32"/>
        <v>1.6812109789999998</v>
      </c>
      <c r="AI98">
        <v>1</v>
      </c>
      <c r="AJ98">
        <v>8.5489020999999998E-2</v>
      </c>
      <c r="AK98">
        <v>1.7666999999999999</v>
      </c>
      <c r="AL98">
        <f t="shared" ref="AL98" si="35">ABS(AJ98-AK98)</f>
        <v>1.6812109789999998</v>
      </c>
    </row>
    <row r="99" spans="1:41" x14ac:dyDescent="0.25">
      <c r="A99">
        <v>2</v>
      </c>
      <c r="B99">
        <f t="shared" si="29"/>
        <v>28.33017242136879</v>
      </c>
      <c r="C99">
        <v>0.72599999999999998</v>
      </c>
      <c r="D99">
        <f t="shared" si="30"/>
        <v>27.604172421368791</v>
      </c>
      <c r="X99">
        <v>2</v>
      </c>
      <c r="Y99">
        <v>58.359891820000001</v>
      </c>
      <c r="Z99">
        <v>0.72599999999999998</v>
      </c>
      <c r="AA99">
        <f t="shared" si="32"/>
        <v>57.633891820000002</v>
      </c>
    </row>
    <row r="100" spans="1:41" x14ac:dyDescent="0.25">
      <c r="A100">
        <v>2</v>
      </c>
      <c r="B100">
        <f t="shared" si="29"/>
        <v>1.2542005654853157</v>
      </c>
      <c r="C100">
        <v>0.749</v>
      </c>
      <c r="D100">
        <f t="shared" si="30"/>
        <v>0.50520056548531567</v>
      </c>
      <c r="X100">
        <v>2</v>
      </c>
      <c r="Y100">
        <v>0.53236145599999996</v>
      </c>
      <c r="Z100">
        <v>0.749</v>
      </c>
      <c r="AA100">
        <f t="shared" si="32"/>
        <v>0.21663854400000004</v>
      </c>
    </row>
    <row r="101" spans="1:41" x14ac:dyDescent="0.25">
      <c r="A101">
        <v>2</v>
      </c>
      <c r="B101">
        <f t="shared" si="29"/>
        <v>0.51730051832072066</v>
      </c>
      <c r="C101">
        <v>0.66900000000000004</v>
      </c>
      <c r="D101">
        <f t="shared" si="30"/>
        <v>0.15169948167927938</v>
      </c>
      <c r="X101">
        <v>2</v>
      </c>
      <c r="Y101">
        <v>0.180230952</v>
      </c>
      <c r="Z101">
        <v>0.66900000000000004</v>
      </c>
      <c r="AA101">
        <f t="shared" si="32"/>
        <v>0.48876904800000004</v>
      </c>
    </row>
    <row r="102" spans="1:41" x14ac:dyDescent="0.25">
      <c r="A102">
        <v>2</v>
      </c>
      <c r="B102">
        <f t="shared" si="29"/>
        <v>1.5376784361544964</v>
      </c>
      <c r="C102">
        <v>0.314</v>
      </c>
      <c r="D102">
        <f t="shared" si="30"/>
        <v>1.2236784361544963</v>
      </c>
      <c r="X102">
        <v>2</v>
      </c>
      <c r="Y102">
        <v>0.65268722400000001</v>
      </c>
      <c r="Z102">
        <v>0.314</v>
      </c>
      <c r="AA102">
        <f t="shared" si="32"/>
        <v>0.33868722400000001</v>
      </c>
    </row>
    <row r="103" spans="1:41" x14ac:dyDescent="0.25">
      <c r="A103">
        <v>2</v>
      </c>
      <c r="B103">
        <f t="shared" si="29"/>
        <v>0.84928043082146554</v>
      </c>
      <c r="C103">
        <v>0.16300000000000001</v>
      </c>
      <c r="D103">
        <f t="shared" si="30"/>
        <v>0.6862804308214655</v>
      </c>
      <c r="X103">
        <v>2</v>
      </c>
      <c r="Y103">
        <v>0.32659848299999999</v>
      </c>
      <c r="Z103">
        <v>0.16300000000000001</v>
      </c>
      <c r="AA103">
        <f t="shared" si="32"/>
        <v>0.16359848299999999</v>
      </c>
    </row>
    <row r="104" spans="1:41" x14ac:dyDescent="0.25">
      <c r="A104">
        <v>2</v>
      </c>
      <c r="B104">
        <f t="shared" si="29"/>
        <v>0.36088865612890692</v>
      </c>
      <c r="C104">
        <v>0.20200000000000001</v>
      </c>
      <c r="D104">
        <f t="shared" si="30"/>
        <v>0.1588886561289069</v>
      </c>
      <c r="X104">
        <v>2</v>
      </c>
      <c r="Y104">
        <v>0.13580115800000001</v>
      </c>
      <c r="Z104">
        <v>0.20200000000000001</v>
      </c>
      <c r="AA104">
        <f t="shared" si="32"/>
        <v>6.6198842000000008E-2</v>
      </c>
    </row>
    <row r="106" spans="1:41" x14ac:dyDescent="0.25">
      <c r="B106" t="s">
        <v>60</v>
      </c>
      <c r="N106" t="s">
        <v>60</v>
      </c>
    </row>
    <row r="107" spans="1:41" x14ac:dyDescent="0.25">
      <c r="A107" t="s">
        <v>38</v>
      </c>
      <c r="B107" t="s">
        <v>57</v>
      </c>
      <c r="C107" t="s">
        <v>50</v>
      </c>
      <c r="D107" t="s">
        <v>53</v>
      </c>
      <c r="E107" t="s">
        <v>54</v>
      </c>
      <c r="F107" t="s">
        <v>55</v>
      </c>
      <c r="G107" t="s">
        <v>56</v>
      </c>
      <c r="M107" t="s">
        <v>38</v>
      </c>
      <c r="N107" t="s">
        <v>57</v>
      </c>
      <c r="O107" t="s">
        <v>50</v>
      </c>
      <c r="P107" t="s">
        <v>53</v>
      </c>
      <c r="Q107" t="s">
        <v>54</v>
      </c>
      <c r="R107" t="s">
        <v>55</v>
      </c>
      <c r="S107" t="s">
        <v>56</v>
      </c>
      <c r="X107" t="s">
        <v>38</v>
      </c>
      <c r="Y107" t="s">
        <v>57</v>
      </c>
      <c r="Z107" t="s">
        <v>50</v>
      </c>
      <c r="AA107" t="s">
        <v>53</v>
      </c>
      <c r="AB107" t="s">
        <v>54</v>
      </c>
      <c r="AC107" t="s">
        <v>55</v>
      </c>
      <c r="AD107" t="s">
        <v>56</v>
      </c>
      <c r="AI107" t="s">
        <v>38</v>
      </c>
      <c r="AJ107" t="s">
        <v>57</v>
      </c>
      <c r="AK107" t="s">
        <v>50</v>
      </c>
      <c r="AL107" t="s">
        <v>53</v>
      </c>
      <c r="AM107" t="s">
        <v>54</v>
      </c>
      <c r="AN107" t="s">
        <v>55</v>
      </c>
      <c r="AO107" t="s">
        <v>56</v>
      </c>
    </row>
    <row r="108" spans="1:41" x14ac:dyDescent="0.25">
      <c r="A108">
        <v>1</v>
      </c>
      <c r="B108">
        <f>EXP(B68)</f>
        <v>16.09093709272835</v>
      </c>
      <c r="C108">
        <v>3.2515999999999998</v>
      </c>
      <c r="D108">
        <f>ABS(B108-C108)</f>
        <v>12.83933709272835</v>
      </c>
      <c r="E108">
        <f>SUM(D108:D116)</f>
        <v>25.198372662509634</v>
      </c>
      <c r="F108">
        <f>COUNTA(D108:D116)</f>
        <v>9</v>
      </c>
      <c r="G108">
        <f>E108/F108</f>
        <v>2.7998191847232925</v>
      </c>
      <c r="M108">
        <v>1</v>
      </c>
      <c r="N108">
        <v>16.09093709272835</v>
      </c>
      <c r="O108">
        <v>3.2515999999999998</v>
      </c>
      <c r="P108">
        <f>ABS(N108-O108)</f>
        <v>12.83933709272835</v>
      </c>
      <c r="Q108">
        <f>SUM(P108:P111)</f>
        <v>22.86953174946203</v>
      </c>
      <c r="R108">
        <f>COUNTA(P108:P111)</f>
        <v>4</v>
      </c>
      <c r="S108">
        <f>Q108/R108</f>
        <v>5.7173829373655076</v>
      </c>
      <c r="X108">
        <v>1</v>
      </c>
      <c r="Y108">
        <v>36.118168665182303</v>
      </c>
      <c r="Z108">
        <v>3.2515999999999998</v>
      </c>
      <c r="AA108">
        <f>ABS(Y108-Z108)</f>
        <v>32.866568665182299</v>
      </c>
      <c r="AB108">
        <f>SUM(AA108:AA116)</f>
        <v>56.231575776137433</v>
      </c>
      <c r="AC108">
        <f>COUNTA(AA108:AA116)</f>
        <v>9</v>
      </c>
      <c r="AD108">
        <f>AB108/AC108</f>
        <v>6.2479528640152706</v>
      </c>
      <c r="AI108">
        <v>1</v>
      </c>
      <c r="AJ108">
        <v>36.118168665182303</v>
      </c>
      <c r="AK108">
        <v>3.2515999999999998</v>
      </c>
      <c r="AL108">
        <f>ABS(AJ108-AK108)</f>
        <v>32.866568665182299</v>
      </c>
      <c r="AM108">
        <f>SUM(AL108:AL111)</f>
        <v>54.713082493008081</v>
      </c>
      <c r="AN108">
        <f>COUNTA(AL108:AL111)</f>
        <v>4</v>
      </c>
      <c r="AO108">
        <f>AM108/AN108</f>
        <v>13.67827062325202</v>
      </c>
    </row>
    <row r="109" spans="1:41" x14ac:dyDescent="0.25">
      <c r="A109">
        <v>1</v>
      </c>
      <c r="B109">
        <f t="shared" ref="B109:B116" si="36">EXP(B69)</f>
        <v>2.5123920316895982</v>
      </c>
      <c r="C109">
        <v>3.6612</v>
      </c>
      <c r="D109">
        <f t="shared" ref="D109:D113" si="37">ABS(B109-C109)</f>
        <v>1.1488079683104018</v>
      </c>
      <c r="M109">
        <v>1</v>
      </c>
      <c r="N109">
        <v>2.5123920316895982</v>
      </c>
      <c r="O109">
        <v>3.6612</v>
      </c>
      <c r="P109">
        <f t="shared" ref="P109:P111" si="38">ABS(N109-O109)</f>
        <v>1.1488079683104018</v>
      </c>
      <c r="X109">
        <v>1</v>
      </c>
      <c r="Y109">
        <v>1.68230906169977</v>
      </c>
      <c r="Z109">
        <v>3.6612</v>
      </c>
      <c r="AA109">
        <f t="shared" ref="AA109:AA116" si="39">ABS(Y109-Z109)</f>
        <v>1.97889093830023</v>
      </c>
      <c r="AI109">
        <v>1</v>
      </c>
      <c r="AJ109">
        <v>1.68230906169977</v>
      </c>
      <c r="AK109">
        <v>3.6612</v>
      </c>
      <c r="AL109">
        <f t="shared" ref="AL109:AL111" si="40">ABS(AJ109-AK109)</f>
        <v>1.97889093830023</v>
      </c>
    </row>
    <row r="110" spans="1:41" x14ac:dyDescent="0.25">
      <c r="A110">
        <v>1</v>
      </c>
      <c r="B110">
        <f t="shared" si="36"/>
        <v>9.5841174874003876</v>
      </c>
      <c r="C110">
        <v>1.9870000000000001</v>
      </c>
      <c r="D110">
        <f t="shared" si="37"/>
        <v>7.5971174874003875</v>
      </c>
      <c r="M110">
        <v>1</v>
      </c>
      <c r="N110">
        <v>9.5841174874003876</v>
      </c>
      <c r="O110">
        <v>1.9870000000000001</v>
      </c>
      <c r="P110">
        <f t="shared" si="38"/>
        <v>7.5971174874003875</v>
      </c>
      <c r="X110">
        <v>1</v>
      </c>
      <c r="Y110">
        <v>20.3513514784261</v>
      </c>
      <c r="Z110">
        <v>1.9870000000000001</v>
      </c>
      <c r="AA110">
        <f t="shared" si="39"/>
        <v>18.364351478426101</v>
      </c>
      <c r="AI110">
        <v>1</v>
      </c>
      <c r="AJ110">
        <v>20.3513514784261</v>
      </c>
      <c r="AK110">
        <v>1.9870000000000001</v>
      </c>
      <c r="AL110">
        <f t="shared" si="40"/>
        <v>18.364351478426101</v>
      </c>
    </row>
    <row r="111" spans="1:41" x14ac:dyDescent="0.25">
      <c r="A111">
        <v>1</v>
      </c>
      <c r="B111">
        <f t="shared" si="36"/>
        <v>0.2604307989771078</v>
      </c>
      <c r="C111">
        <v>1.5447</v>
      </c>
      <c r="D111">
        <f t="shared" si="37"/>
        <v>1.2842692010228922</v>
      </c>
      <c r="M111">
        <v>1</v>
      </c>
      <c r="N111">
        <v>0.2604307989771078</v>
      </c>
      <c r="O111">
        <v>1.5447</v>
      </c>
      <c r="P111">
        <f t="shared" si="38"/>
        <v>1.2842692010228922</v>
      </c>
      <c r="X111">
        <v>1</v>
      </c>
      <c r="Y111">
        <v>4.1428588900555001E-2</v>
      </c>
      <c r="Z111">
        <v>1.5447</v>
      </c>
      <c r="AA111">
        <f t="shared" si="39"/>
        <v>1.503271411099445</v>
      </c>
      <c r="AI111">
        <v>1</v>
      </c>
      <c r="AJ111">
        <v>4.1428588900555001E-2</v>
      </c>
      <c r="AK111">
        <v>1.5447</v>
      </c>
      <c r="AL111">
        <f t="shared" si="40"/>
        <v>1.503271411099445</v>
      </c>
    </row>
    <row r="112" spans="1:41" x14ac:dyDescent="0.25">
      <c r="A112">
        <v>2</v>
      </c>
      <c r="B112">
        <f t="shared" si="36"/>
        <v>1.3318810282520444</v>
      </c>
      <c r="C112">
        <v>0.93</v>
      </c>
      <c r="D112">
        <f t="shared" si="37"/>
        <v>0.4018810282520443</v>
      </c>
      <c r="X112">
        <v>2</v>
      </c>
      <c r="Y112">
        <v>0.89183356422667504</v>
      </c>
      <c r="Z112">
        <v>0.93</v>
      </c>
      <c r="AA112">
        <f t="shared" si="39"/>
        <v>3.8166435773325014E-2</v>
      </c>
    </row>
    <row r="113" spans="1:27" x14ac:dyDescent="0.25">
      <c r="A113">
        <v>2</v>
      </c>
      <c r="B113">
        <f t="shared" si="36"/>
        <v>0.17735429152510293</v>
      </c>
      <c r="C113">
        <v>0.91900000000000004</v>
      </c>
      <c r="D113">
        <f t="shared" si="37"/>
        <v>0.74164570847489708</v>
      </c>
      <c r="X113">
        <v>2</v>
      </c>
      <c r="Y113">
        <v>0.34381826671890298</v>
      </c>
      <c r="Z113">
        <v>0.91900000000000004</v>
      </c>
      <c r="AA113">
        <f t="shared" si="39"/>
        <v>0.57518173328109712</v>
      </c>
    </row>
    <row r="114" spans="1:27" x14ac:dyDescent="0.25">
      <c r="A114">
        <v>2</v>
      </c>
      <c r="B114">
        <f t="shared" si="36"/>
        <v>0.37692386557700075</v>
      </c>
      <c r="C114">
        <v>0.33800000000000002</v>
      </c>
      <c r="D114">
        <f>ABS(B114-C114)</f>
        <v>3.8923865577000727E-2</v>
      </c>
      <c r="X114">
        <v>2</v>
      </c>
      <c r="Y114">
        <v>8.6805910329984401E-2</v>
      </c>
      <c r="Z114">
        <v>0.33800000000000002</v>
      </c>
      <c r="AA114">
        <f t="shared" si="39"/>
        <v>0.25119408967001561</v>
      </c>
    </row>
    <row r="115" spans="1:27" x14ac:dyDescent="0.25">
      <c r="A115">
        <v>2</v>
      </c>
      <c r="B115">
        <f t="shared" si="36"/>
        <v>1.1654692387751922E-2</v>
      </c>
      <c r="C115">
        <v>0.65700000000000003</v>
      </c>
      <c r="D115">
        <f t="shared" ref="D115:D116" si="41">ABS(B115-C115)</f>
        <v>0.64534530761224806</v>
      </c>
      <c r="X115">
        <v>2</v>
      </c>
      <c r="Y115">
        <v>1.19599237288474E-2</v>
      </c>
      <c r="Z115">
        <v>0.65700000000000003</v>
      </c>
      <c r="AA115">
        <f t="shared" si="39"/>
        <v>0.64504007627115267</v>
      </c>
    </row>
    <row r="116" spans="1:27" x14ac:dyDescent="0.25">
      <c r="A116">
        <v>2</v>
      </c>
      <c r="B116">
        <f t="shared" si="36"/>
        <v>0.67004500313141069</v>
      </c>
      <c r="C116">
        <v>0.16900000000000001</v>
      </c>
      <c r="D116">
        <f t="shared" si="41"/>
        <v>0.50104500313141065</v>
      </c>
      <c r="X116">
        <v>2</v>
      </c>
      <c r="Y116">
        <v>0.17791094813375699</v>
      </c>
      <c r="Z116">
        <v>0.16900000000000001</v>
      </c>
      <c r="AA116">
        <f t="shared" si="39"/>
        <v>8.9109481337569796E-3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DB74-FD88-4055-ABF3-2B0960793303}">
  <dimension ref="A1:AR114"/>
  <sheetViews>
    <sheetView workbookViewId="0">
      <selection activeCell="N29" sqref="N29"/>
    </sheetView>
  </sheetViews>
  <sheetFormatPr defaultRowHeight="15" x14ac:dyDescent="0.25"/>
  <cols>
    <col min="3" max="4" width="15.85546875" bestFit="1" customWidth="1"/>
  </cols>
  <sheetData>
    <row r="1" spans="1:23" x14ac:dyDescent="0.25">
      <c r="A1" t="s">
        <v>51</v>
      </c>
      <c r="C1" t="s">
        <v>64</v>
      </c>
    </row>
    <row r="3" spans="1:23" x14ac:dyDescent="0.25">
      <c r="C3" s="2"/>
      <c r="D3" s="2"/>
      <c r="W3" s="1"/>
    </row>
    <row r="4" spans="1:23" x14ac:dyDescent="0.25">
      <c r="C4" s="2"/>
      <c r="D4" s="2"/>
      <c r="W4" s="1"/>
    </row>
    <row r="5" spans="1:23" x14ac:dyDescent="0.25">
      <c r="C5" s="2"/>
      <c r="D5" s="2"/>
      <c r="W5" s="1"/>
    </row>
    <row r="6" spans="1:23" x14ac:dyDescent="0.25">
      <c r="C6" s="2"/>
      <c r="D6" s="2"/>
      <c r="W6" s="1"/>
    </row>
    <row r="7" spans="1:23" x14ac:dyDescent="0.25">
      <c r="C7" s="2"/>
      <c r="D7" s="2"/>
      <c r="W7" s="1"/>
    </row>
    <row r="8" spans="1:23" x14ac:dyDescent="0.25">
      <c r="C8" s="2"/>
      <c r="D8" s="2"/>
      <c r="W8" s="1"/>
    </row>
    <row r="9" spans="1:23" x14ac:dyDescent="0.25">
      <c r="C9" s="2"/>
      <c r="D9" s="2"/>
      <c r="W9" s="1"/>
    </row>
    <row r="10" spans="1:23" x14ac:dyDescent="0.25">
      <c r="C10" s="2"/>
      <c r="D10" s="2"/>
      <c r="W10" s="1"/>
    </row>
    <row r="11" spans="1:23" x14ac:dyDescent="0.25">
      <c r="C11" s="2"/>
      <c r="D11" s="2"/>
      <c r="W11" s="1"/>
    </row>
    <row r="12" spans="1:23" x14ac:dyDescent="0.25">
      <c r="C12" s="2"/>
      <c r="D12" s="2"/>
      <c r="T12" s="1"/>
      <c r="W12" s="1"/>
    </row>
    <row r="13" spans="1:23" x14ac:dyDescent="0.25">
      <c r="C13" t="s">
        <v>65</v>
      </c>
    </row>
    <row r="15" spans="1:23" x14ac:dyDescent="0.25">
      <c r="C15" s="2"/>
      <c r="D15" s="2"/>
      <c r="W15" s="1"/>
    </row>
    <row r="16" spans="1:23" x14ac:dyDescent="0.25">
      <c r="C16" s="2"/>
      <c r="D16" s="2"/>
      <c r="W16" s="1"/>
    </row>
    <row r="17" spans="3:23" x14ac:dyDescent="0.25">
      <c r="C17" s="2"/>
      <c r="D17" s="2"/>
      <c r="W17" s="1"/>
    </row>
    <row r="18" spans="3:23" x14ac:dyDescent="0.25">
      <c r="C18" s="2"/>
      <c r="D18" s="2"/>
      <c r="W18" s="1"/>
    </row>
    <row r="19" spans="3:23" x14ac:dyDescent="0.25">
      <c r="C19" s="2"/>
      <c r="D19" s="2"/>
      <c r="W19" s="1"/>
    </row>
    <row r="20" spans="3:23" x14ac:dyDescent="0.25">
      <c r="C20" s="2"/>
      <c r="D20" s="2"/>
      <c r="W20" s="1"/>
    </row>
    <row r="21" spans="3:23" x14ac:dyDescent="0.25">
      <c r="C21" s="2"/>
      <c r="D21" s="2"/>
      <c r="T21" s="1"/>
      <c r="W21" s="1"/>
    </row>
    <row r="22" spans="3:23" x14ac:dyDescent="0.25">
      <c r="C22" s="2"/>
      <c r="D22" s="2"/>
      <c r="W22" s="1"/>
    </row>
    <row r="23" spans="3:23" x14ac:dyDescent="0.25">
      <c r="C23" s="2"/>
      <c r="D23" s="2"/>
      <c r="W23" s="1"/>
    </row>
    <row r="24" spans="3:23" x14ac:dyDescent="0.25">
      <c r="C24" s="2"/>
      <c r="D24" s="2"/>
      <c r="W24" s="1"/>
    </row>
    <row r="25" spans="3:23" x14ac:dyDescent="0.25">
      <c r="C25" t="s">
        <v>66</v>
      </c>
    </row>
    <row r="27" spans="3:23" x14ac:dyDescent="0.25">
      <c r="C27" s="2"/>
      <c r="D27" s="2"/>
      <c r="W27" s="1"/>
    </row>
    <row r="28" spans="3:23" x14ac:dyDescent="0.25">
      <c r="C28" s="2"/>
      <c r="D28" s="2"/>
      <c r="W28" s="1"/>
    </row>
    <row r="29" spans="3:23" x14ac:dyDescent="0.25">
      <c r="C29" s="2"/>
      <c r="D29" s="2"/>
      <c r="W29" s="1"/>
    </row>
    <row r="30" spans="3:23" x14ac:dyDescent="0.25">
      <c r="C30" s="2"/>
      <c r="D30" s="2"/>
      <c r="W30" s="1"/>
    </row>
    <row r="31" spans="3:23" x14ac:dyDescent="0.25">
      <c r="C31" s="2"/>
      <c r="D31" s="2"/>
      <c r="W31" s="1"/>
    </row>
    <row r="32" spans="3:23" x14ac:dyDescent="0.25">
      <c r="C32" s="2"/>
      <c r="D32" s="2"/>
      <c r="W32" s="1"/>
    </row>
    <row r="33" spans="1:44" x14ac:dyDescent="0.25">
      <c r="C33" s="2"/>
      <c r="D33" s="2"/>
      <c r="W33" s="1"/>
    </row>
    <row r="34" spans="1:44" x14ac:dyDescent="0.25">
      <c r="C34" s="2"/>
      <c r="D34" s="2"/>
      <c r="W34" s="1"/>
    </row>
    <row r="35" spans="1:44" x14ac:dyDescent="0.25">
      <c r="C35" s="2"/>
      <c r="D35" s="2"/>
      <c r="W35" s="1"/>
    </row>
    <row r="37" spans="1:44" x14ac:dyDescent="0.25">
      <c r="B37" t="s">
        <v>49</v>
      </c>
      <c r="N37" t="s">
        <v>49</v>
      </c>
      <c r="O37" t="s">
        <v>62</v>
      </c>
      <c r="Y37" t="s">
        <v>49</v>
      </c>
      <c r="AJ37" t="s">
        <v>49</v>
      </c>
      <c r="AK37" t="s">
        <v>62</v>
      </c>
    </row>
    <row r="38" spans="1:44" x14ac:dyDescent="0.25">
      <c r="B38" t="s">
        <v>58</v>
      </c>
      <c r="N38" t="s">
        <v>58</v>
      </c>
    </row>
    <row r="39" spans="1:44" x14ac:dyDescent="0.25">
      <c r="A39" t="s">
        <v>38</v>
      </c>
      <c r="B39" t="s">
        <v>52</v>
      </c>
      <c r="C39" t="s">
        <v>39</v>
      </c>
      <c r="D39" t="s">
        <v>53</v>
      </c>
      <c r="E39" t="s">
        <v>54</v>
      </c>
      <c r="F39" t="s">
        <v>55</v>
      </c>
      <c r="G39" t="s">
        <v>56</v>
      </c>
      <c r="J39" t="s">
        <v>61</v>
      </c>
      <c r="M39" t="s">
        <v>38</v>
      </c>
      <c r="N39" t="s">
        <v>52</v>
      </c>
      <c r="O39" t="s">
        <v>39</v>
      </c>
      <c r="P39" t="s">
        <v>53</v>
      </c>
      <c r="Q39" t="s">
        <v>54</v>
      </c>
      <c r="R39" t="s">
        <v>55</v>
      </c>
      <c r="S39" t="s">
        <v>56</v>
      </c>
      <c r="V39" t="s">
        <v>61</v>
      </c>
      <c r="X39" t="s">
        <v>38</v>
      </c>
      <c r="Y39" t="s">
        <v>52</v>
      </c>
      <c r="Z39" t="s">
        <v>39</v>
      </c>
      <c r="AA39" t="s">
        <v>53</v>
      </c>
      <c r="AB39" t="s">
        <v>54</v>
      </c>
      <c r="AC39" t="s">
        <v>55</v>
      </c>
      <c r="AD39" t="s">
        <v>56</v>
      </c>
      <c r="AG39" t="s">
        <v>61</v>
      </c>
      <c r="AI39" t="s">
        <v>38</v>
      </c>
      <c r="AJ39" t="s">
        <v>52</v>
      </c>
      <c r="AK39" t="s">
        <v>39</v>
      </c>
      <c r="AL39" t="s">
        <v>53</v>
      </c>
      <c r="AM39" t="s">
        <v>54</v>
      </c>
      <c r="AN39" t="s">
        <v>55</v>
      </c>
      <c r="AO39" t="s">
        <v>56</v>
      </c>
      <c r="AR39" t="s">
        <v>61</v>
      </c>
    </row>
    <row r="40" spans="1:44" x14ac:dyDescent="0.25">
      <c r="D40">
        <f>ABS(B40-C40)</f>
        <v>0</v>
      </c>
      <c r="E40">
        <f>SUM(D40:D49)</f>
        <v>0</v>
      </c>
      <c r="F40">
        <f>COUNTA(D40:D49)</f>
        <v>10</v>
      </c>
      <c r="G40">
        <f>E40/F40</f>
        <v>0</v>
      </c>
      <c r="J40">
        <f>AVERAGE(G40,G53,G66)</f>
        <v>0</v>
      </c>
      <c r="P40">
        <f>ABS(N40-O40)</f>
        <v>0</v>
      </c>
      <c r="Q40">
        <f>SUM(P40:P43)</f>
        <v>0</v>
      </c>
      <c r="R40">
        <f>COUNTA(P40:P43)</f>
        <v>4</v>
      </c>
      <c r="S40">
        <f>Q40/R40</f>
        <v>0</v>
      </c>
      <c r="V40">
        <f>AVERAGE(S40,S53,S66)</f>
        <v>0</v>
      </c>
      <c r="AA40">
        <f>ABS(Y40-Z40)</f>
        <v>0</v>
      </c>
      <c r="AB40">
        <f>SUM(AA40:AA49)</f>
        <v>0</v>
      </c>
      <c r="AC40">
        <f>COUNTA(AA40:AA49)</f>
        <v>10</v>
      </c>
      <c r="AD40">
        <f>AB40/AC40</f>
        <v>0</v>
      </c>
      <c r="AG40">
        <f>AVERAGE(AD40,AD53,AD66)</f>
        <v>0</v>
      </c>
      <c r="AL40">
        <f>ABS(AJ40-AK40)</f>
        <v>0</v>
      </c>
      <c r="AM40">
        <f>SUM(AL40:AL43)</f>
        <v>0</v>
      </c>
      <c r="AN40">
        <f>COUNTA(AL40:AL43)</f>
        <v>4</v>
      </c>
      <c r="AO40">
        <f>AM40/AN40</f>
        <v>0</v>
      </c>
      <c r="AR40">
        <f>AVERAGE(AO40,AO53,AO66)</f>
        <v>0</v>
      </c>
    </row>
    <row r="41" spans="1:44" x14ac:dyDescent="0.25">
      <c r="D41">
        <f t="shared" ref="D41:D49" si="0">ABS(B41-C41)</f>
        <v>0</v>
      </c>
      <c r="P41">
        <f t="shared" ref="P41:P43" si="1">ABS(N41-O41)</f>
        <v>0</v>
      </c>
      <c r="AA41">
        <f t="shared" ref="AA41:AA49" si="2">ABS(Y41-Z41)</f>
        <v>0</v>
      </c>
      <c r="AL41">
        <f t="shared" ref="AL41:AL43" si="3">ABS(AJ41-AK41)</f>
        <v>0</v>
      </c>
    </row>
    <row r="42" spans="1:44" x14ac:dyDescent="0.25">
      <c r="D42">
        <f t="shared" si="0"/>
        <v>0</v>
      </c>
      <c r="P42">
        <f t="shared" si="1"/>
        <v>0</v>
      </c>
      <c r="AA42">
        <f t="shared" si="2"/>
        <v>0</v>
      </c>
      <c r="AL42">
        <f t="shared" si="3"/>
        <v>0</v>
      </c>
    </row>
    <row r="43" spans="1:44" x14ac:dyDescent="0.25">
      <c r="D43">
        <f t="shared" si="0"/>
        <v>0</v>
      </c>
      <c r="P43">
        <f t="shared" si="1"/>
        <v>0</v>
      </c>
      <c r="AA43">
        <f t="shared" si="2"/>
        <v>0</v>
      </c>
      <c r="AL43">
        <f t="shared" si="3"/>
        <v>0</v>
      </c>
    </row>
    <row r="44" spans="1:44" x14ac:dyDescent="0.25">
      <c r="D44">
        <f t="shared" si="0"/>
        <v>0</v>
      </c>
      <c r="AA44">
        <f t="shared" si="2"/>
        <v>0</v>
      </c>
    </row>
    <row r="45" spans="1:44" x14ac:dyDescent="0.25">
      <c r="D45">
        <f t="shared" si="0"/>
        <v>0</v>
      </c>
      <c r="AA45">
        <f t="shared" si="2"/>
        <v>0</v>
      </c>
    </row>
    <row r="46" spans="1:44" x14ac:dyDescent="0.25">
      <c r="D46">
        <f t="shared" si="0"/>
        <v>0</v>
      </c>
      <c r="AA46">
        <f t="shared" si="2"/>
        <v>0</v>
      </c>
    </row>
    <row r="47" spans="1:44" x14ac:dyDescent="0.25">
      <c r="D47">
        <f t="shared" si="0"/>
        <v>0</v>
      </c>
      <c r="AA47">
        <f t="shared" si="2"/>
        <v>0</v>
      </c>
    </row>
    <row r="48" spans="1:44" x14ac:dyDescent="0.25">
      <c r="D48">
        <f t="shared" si="0"/>
        <v>0</v>
      </c>
      <c r="AA48">
        <f t="shared" si="2"/>
        <v>0</v>
      </c>
    </row>
    <row r="49" spans="1:41" x14ac:dyDescent="0.25">
      <c r="D49">
        <f t="shared" si="0"/>
        <v>0</v>
      </c>
      <c r="AA49">
        <f t="shared" si="2"/>
        <v>0</v>
      </c>
    </row>
    <row r="51" spans="1:41" x14ac:dyDescent="0.25">
      <c r="B51" t="s">
        <v>59</v>
      </c>
      <c r="N51" t="s">
        <v>59</v>
      </c>
    </row>
    <row r="52" spans="1:41" x14ac:dyDescent="0.25">
      <c r="A52" t="s">
        <v>38</v>
      </c>
      <c r="B52" t="s">
        <v>52</v>
      </c>
      <c r="C52" t="s">
        <v>39</v>
      </c>
      <c r="D52" t="s">
        <v>53</v>
      </c>
      <c r="E52" t="s">
        <v>54</v>
      </c>
      <c r="F52" t="s">
        <v>55</v>
      </c>
      <c r="G52" t="s">
        <v>56</v>
      </c>
      <c r="M52" t="s">
        <v>38</v>
      </c>
      <c r="N52" t="s">
        <v>52</v>
      </c>
      <c r="O52" t="s">
        <v>39</v>
      </c>
      <c r="P52" t="s">
        <v>53</v>
      </c>
      <c r="Q52" t="s">
        <v>54</v>
      </c>
      <c r="R52" t="s">
        <v>55</v>
      </c>
      <c r="S52" t="s">
        <v>56</v>
      </c>
      <c r="X52" t="s">
        <v>38</v>
      </c>
      <c r="Y52" t="s">
        <v>52</v>
      </c>
      <c r="Z52" t="s">
        <v>39</v>
      </c>
      <c r="AA52" t="s">
        <v>53</v>
      </c>
      <c r="AB52" t="s">
        <v>54</v>
      </c>
      <c r="AC52" t="s">
        <v>55</v>
      </c>
      <c r="AD52" t="s">
        <v>56</v>
      </c>
      <c r="AI52" t="s">
        <v>38</v>
      </c>
      <c r="AJ52" t="s">
        <v>52</v>
      </c>
      <c r="AK52" t="s">
        <v>39</v>
      </c>
      <c r="AL52" t="s">
        <v>53</v>
      </c>
      <c r="AM52" t="s">
        <v>54</v>
      </c>
      <c r="AN52" t="s">
        <v>55</v>
      </c>
      <c r="AO52" t="s">
        <v>56</v>
      </c>
    </row>
    <row r="53" spans="1:41" x14ac:dyDescent="0.25">
      <c r="D53">
        <f>ABS(B53-C53)</f>
        <v>0</v>
      </c>
      <c r="E53">
        <f>SUM(D53:D62)</f>
        <v>0</v>
      </c>
      <c r="F53">
        <f>COUNTA(D53:D62)</f>
        <v>10</v>
      </c>
      <c r="G53">
        <f>E53/F53</f>
        <v>0</v>
      </c>
      <c r="P53">
        <f>ABS(N53-O53)</f>
        <v>0</v>
      </c>
      <c r="Q53">
        <f>SUM(P53:P56)</f>
        <v>0</v>
      </c>
      <c r="R53">
        <f>COUNTA(P53:P56)</f>
        <v>4</v>
      </c>
      <c r="S53">
        <f>Q53/R53</f>
        <v>0</v>
      </c>
      <c r="AA53">
        <f>ABS(Y53-Z53)</f>
        <v>0</v>
      </c>
      <c r="AB53">
        <f>SUM(AA53:AA62)</f>
        <v>0</v>
      </c>
      <c r="AC53">
        <f>COUNTA(AA53:AA62)</f>
        <v>10</v>
      </c>
      <c r="AD53">
        <f>AB53/AC53</f>
        <v>0</v>
      </c>
      <c r="AL53">
        <f>ABS(AJ53-AK53)</f>
        <v>0</v>
      </c>
      <c r="AM53">
        <f>SUM(AL53:AL56)</f>
        <v>0</v>
      </c>
      <c r="AN53">
        <f>COUNTA(AL53:AL56)</f>
        <v>4</v>
      </c>
      <c r="AO53">
        <f>AM53/AN53</f>
        <v>0</v>
      </c>
    </row>
    <row r="54" spans="1:41" x14ac:dyDescent="0.25">
      <c r="D54">
        <f t="shared" ref="D54:D62" si="4">ABS(B54-C54)</f>
        <v>0</v>
      </c>
      <c r="P54">
        <f t="shared" ref="P54:P56" si="5">ABS(N54-O54)</f>
        <v>0</v>
      </c>
      <c r="AA54">
        <f t="shared" ref="AA54:AA62" si="6">ABS(Y54-Z54)</f>
        <v>0</v>
      </c>
      <c r="AL54">
        <f t="shared" ref="AL54:AL56" si="7">ABS(AJ54-AK54)</f>
        <v>0</v>
      </c>
    </row>
    <row r="55" spans="1:41" x14ac:dyDescent="0.25">
      <c r="D55">
        <f t="shared" si="4"/>
        <v>0</v>
      </c>
      <c r="P55">
        <f t="shared" si="5"/>
        <v>0</v>
      </c>
      <c r="AA55">
        <f t="shared" si="6"/>
        <v>0</v>
      </c>
      <c r="AL55">
        <f t="shared" si="7"/>
        <v>0</v>
      </c>
    </row>
    <row r="56" spans="1:41" x14ac:dyDescent="0.25">
      <c r="D56">
        <f t="shared" si="4"/>
        <v>0</v>
      </c>
      <c r="P56">
        <f t="shared" si="5"/>
        <v>0</v>
      </c>
      <c r="AA56">
        <f t="shared" si="6"/>
        <v>0</v>
      </c>
      <c r="AL56">
        <f t="shared" si="7"/>
        <v>0</v>
      </c>
    </row>
    <row r="57" spans="1:41" x14ac:dyDescent="0.25">
      <c r="D57">
        <f t="shared" si="4"/>
        <v>0</v>
      </c>
      <c r="AA57">
        <f t="shared" si="6"/>
        <v>0</v>
      </c>
    </row>
    <row r="58" spans="1:41" x14ac:dyDescent="0.25">
      <c r="D58">
        <f t="shared" si="4"/>
        <v>0</v>
      </c>
      <c r="AA58">
        <f t="shared" si="6"/>
        <v>0</v>
      </c>
    </row>
    <row r="59" spans="1:41" x14ac:dyDescent="0.25">
      <c r="D59">
        <f t="shared" si="4"/>
        <v>0</v>
      </c>
      <c r="AA59">
        <f t="shared" si="6"/>
        <v>0</v>
      </c>
    </row>
    <row r="60" spans="1:41" x14ac:dyDescent="0.25">
      <c r="D60">
        <f t="shared" si="4"/>
        <v>0</v>
      </c>
      <c r="AA60">
        <f t="shared" si="6"/>
        <v>0</v>
      </c>
    </row>
    <row r="61" spans="1:41" x14ac:dyDescent="0.25">
      <c r="D61">
        <f t="shared" si="4"/>
        <v>0</v>
      </c>
      <c r="AA61">
        <f t="shared" si="6"/>
        <v>0</v>
      </c>
    </row>
    <row r="62" spans="1:41" x14ac:dyDescent="0.25">
      <c r="D62">
        <f t="shared" si="4"/>
        <v>0</v>
      </c>
      <c r="AA62">
        <f t="shared" si="6"/>
        <v>0</v>
      </c>
    </row>
    <row r="64" spans="1:41" x14ac:dyDescent="0.25">
      <c r="B64" t="s">
        <v>60</v>
      </c>
      <c r="N64" t="s">
        <v>60</v>
      </c>
    </row>
    <row r="65" spans="1:44" x14ac:dyDescent="0.25">
      <c r="A65" t="s">
        <v>38</v>
      </c>
      <c r="B65" t="s">
        <v>52</v>
      </c>
      <c r="C65" t="s">
        <v>39</v>
      </c>
      <c r="D65" t="s">
        <v>53</v>
      </c>
      <c r="E65" t="s">
        <v>54</v>
      </c>
      <c r="F65" t="s">
        <v>55</v>
      </c>
      <c r="G65" t="s">
        <v>56</v>
      </c>
      <c r="M65" t="s">
        <v>38</v>
      </c>
      <c r="N65" t="s">
        <v>52</v>
      </c>
      <c r="O65" t="s">
        <v>39</v>
      </c>
      <c r="P65" t="s">
        <v>53</v>
      </c>
      <c r="Q65" t="s">
        <v>54</v>
      </c>
      <c r="R65" t="s">
        <v>55</v>
      </c>
      <c r="S65" t="s">
        <v>56</v>
      </c>
      <c r="X65" t="s">
        <v>38</v>
      </c>
      <c r="Y65" t="s">
        <v>52</v>
      </c>
      <c r="Z65" t="s">
        <v>39</v>
      </c>
      <c r="AA65" t="s">
        <v>53</v>
      </c>
      <c r="AB65" t="s">
        <v>54</v>
      </c>
      <c r="AC65" t="s">
        <v>55</v>
      </c>
      <c r="AD65" t="s">
        <v>56</v>
      </c>
      <c r="AI65" t="s">
        <v>38</v>
      </c>
      <c r="AJ65" t="s">
        <v>52</v>
      </c>
      <c r="AK65" t="s">
        <v>39</v>
      </c>
      <c r="AL65" t="s">
        <v>53</v>
      </c>
      <c r="AM65" t="s">
        <v>54</v>
      </c>
      <c r="AN65" t="s">
        <v>55</v>
      </c>
      <c r="AO65" t="s">
        <v>56</v>
      </c>
    </row>
    <row r="66" spans="1:44" x14ac:dyDescent="0.25">
      <c r="D66">
        <f>ABS(B66-C66)</f>
        <v>0</v>
      </c>
      <c r="E66">
        <f>SUM(D66:D74)</f>
        <v>0</v>
      </c>
      <c r="F66">
        <f>COUNTA(D66:D74)</f>
        <v>9</v>
      </c>
      <c r="G66">
        <f>E66/F66</f>
        <v>0</v>
      </c>
      <c r="P66">
        <f>ABS(N66-O66)</f>
        <v>0</v>
      </c>
      <c r="Q66">
        <f>SUM(P66:P70)</f>
        <v>0</v>
      </c>
      <c r="R66">
        <f>COUNTA(P66:P70)</f>
        <v>5</v>
      </c>
      <c r="S66">
        <f>Q66/R66</f>
        <v>0</v>
      </c>
      <c r="AA66">
        <f>ABS(Y66-Z66)</f>
        <v>0</v>
      </c>
      <c r="AB66">
        <f>SUM(AA66:AA74)</f>
        <v>0</v>
      </c>
      <c r="AC66">
        <f>COUNTA(AA66:AA74)</f>
        <v>9</v>
      </c>
      <c r="AD66">
        <f>AB66/AC66</f>
        <v>0</v>
      </c>
      <c r="AL66">
        <f>ABS(AJ66-AK66)</f>
        <v>0</v>
      </c>
      <c r="AM66">
        <f>SUM(AL66:AL70)</f>
        <v>0</v>
      </c>
      <c r="AN66">
        <f>COUNTA(AL66:AL70)</f>
        <v>5</v>
      </c>
      <c r="AO66">
        <f>AM66/AN66</f>
        <v>0</v>
      </c>
    </row>
    <row r="67" spans="1:44" x14ac:dyDescent="0.25">
      <c r="D67">
        <f t="shared" ref="D67:D74" si="8">ABS(B67-C67)</f>
        <v>0</v>
      </c>
      <c r="P67">
        <f t="shared" ref="P67:P70" si="9">ABS(N67-O67)</f>
        <v>0</v>
      </c>
      <c r="AA67">
        <f t="shared" ref="AA67:AA74" si="10">ABS(Y67-Z67)</f>
        <v>0</v>
      </c>
      <c r="AL67">
        <f t="shared" ref="AL67:AL70" si="11">ABS(AJ67-AK67)</f>
        <v>0</v>
      </c>
    </row>
    <row r="68" spans="1:44" x14ac:dyDescent="0.25">
      <c r="D68">
        <f t="shared" si="8"/>
        <v>0</v>
      </c>
      <c r="P68">
        <f t="shared" si="9"/>
        <v>0</v>
      </c>
      <c r="AA68">
        <f t="shared" si="10"/>
        <v>0</v>
      </c>
      <c r="AL68">
        <f t="shared" si="11"/>
        <v>0</v>
      </c>
    </row>
    <row r="69" spans="1:44" x14ac:dyDescent="0.25">
      <c r="D69">
        <f t="shared" si="8"/>
        <v>0</v>
      </c>
      <c r="P69">
        <f t="shared" si="9"/>
        <v>0</v>
      </c>
      <c r="AA69">
        <f t="shared" si="10"/>
        <v>0</v>
      </c>
      <c r="AL69">
        <f t="shared" si="11"/>
        <v>0</v>
      </c>
    </row>
    <row r="70" spans="1:44" x14ac:dyDescent="0.25">
      <c r="D70">
        <f t="shared" si="8"/>
        <v>0</v>
      </c>
      <c r="P70">
        <f t="shared" si="9"/>
        <v>0</v>
      </c>
      <c r="AA70">
        <f t="shared" si="10"/>
        <v>0</v>
      </c>
      <c r="AL70">
        <f t="shared" si="11"/>
        <v>0</v>
      </c>
    </row>
    <row r="71" spans="1:44" x14ac:dyDescent="0.25">
      <c r="D71">
        <f t="shared" si="8"/>
        <v>0</v>
      </c>
      <c r="AA71">
        <f t="shared" si="10"/>
        <v>0</v>
      </c>
    </row>
    <row r="72" spans="1:44" x14ac:dyDescent="0.25">
      <c r="D72">
        <f t="shared" si="8"/>
        <v>0</v>
      </c>
      <c r="AA72">
        <f t="shared" si="10"/>
        <v>0</v>
      </c>
    </row>
    <row r="73" spans="1:44" x14ac:dyDescent="0.25">
      <c r="D73">
        <f t="shared" si="8"/>
        <v>0</v>
      </c>
      <c r="AA73">
        <f t="shared" si="10"/>
        <v>0</v>
      </c>
    </row>
    <row r="74" spans="1:44" x14ac:dyDescent="0.25">
      <c r="D74">
        <f t="shared" si="8"/>
        <v>0</v>
      </c>
      <c r="AA74">
        <f t="shared" si="10"/>
        <v>0</v>
      </c>
    </row>
    <row r="77" spans="1:44" x14ac:dyDescent="0.25">
      <c r="B77" t="s">
        <v>63</v>
      </c>
      <c r="N77" t="s">
        <v>63</v>
      </c>
      <c r="O77" t="s">
        <v>62</v>
      </c>
      <c r="Y77" t="s">
        <v>63</v>
      </c>
      <c r="AJ77" t="s">
        <v>63</v>
      </c>
      <c r="AK77" t="s">
        <v>62</v>
      </c>
    </row>
    <row r="78" spans="1:44" x14ac:dyDescent="0.25">
      <c r="B78" t="s">
        <v>58</v>
      </c>
      <c r="N78" t="s">
        <v>58</v>
      </c>
    </row>
    <row r="79" spans="1:44" x14ac:dyDescent="0.25">
      <c r="A79" t="s">
        <v>38</v>
      </c>
      <c r="B79" t="s">
        <v>57</v>
      </c>
      <c r="C79" t="s">
        <v>50</v>
      </c>
      <c r="D79" t="s">
        <v>53</v>
      </c>
      <c r="E79" t="s">
        <v>54</v>
      </c>
      <c r="F79" t="s">
        <v>55</v>
      </c>
      <c r="G79" t="s">
        <v>56</v>
      </c>
      <c r="J79" t="s">
        <v>61</v>
      </c>
      <c r="M79" t="s">
        <v>38</v>
      </c>
      <c r="N79" t="s">
        <v>57</v>
      </c>
      <c r="O79" t="s">
        <v>50</v>
      </c>
      <c r="P79" t="s">
        <v>53</v>
      </c>
      <c r="Q79" t="s">
        <v>54</v>
      </c>
      <c r="R79" t="s">
        <v>55</v>
      </c>
      <c r="S79" t="s">
        <v>56</v>
      </c>
      <c r="V79" t="s">
        <v>61</v>
      </c>
      <c r="X79" t="s">
        <v>38</v>
      </c>
      <c r="Y79" t="s">
        <v>57</v>
      </c>
      <c r="Z79" t="s">
        <v>50</v>
      </c>
      <c r="AA79" t="s">
        <v>53</v>
      </c>
      <c r="AB79" t="s">
        <v>54</v>
      </c>
      <c r="AC79" t="s">
        <v>55</v>
      </c>
      <c r="AD79" t="s">
        <v>56</v>
      </c>
      <c r="AG79" t="s">
        <v>61</v>
      </c>
      <c r="AI79" t="s">
        <v>38</v>
      </c>
      <c r="AJ79" t="s">
        <v>57</v>
      </c>
      <c r="AK79" t="s">
        <v>50</v>
      </c>
      <c r="AL79" t="s">
        <v>53</v>
      </c>
      <c r="AM79" t="s">
        <v>54</v>
      </c>
      <c r="AN79" t="s">
        <v>55</v>
      </c>
      <c r="AO79" t="s">
        <v>56</v>
      </c>
      <c r="AR79" t="s">
        <v>61</v>
      </c>
    </row>
    <row r="80" spans="1:44" x14ac:dyDescent="0.25">
      <c r="D80">
        <f>ABS(B80-C80)</f>
        <v>0</v>
      </c>
      <c r="E80">
        <f>SUM(D80:D89)</f>
        <v>0</v>
      </c>
      <c r="F80">
        <f>COUNTA(D80:D89)</f>
        <v>10</v>
      </c>
      <c r="G80">
        <f>E80/F80</f>
        <v>0</v>
      </c>
      <c r="J80">
        <f>AVERAGE(G80,G93,G106)</f>
        <v>0</v>
      </c>
      <c r="P80">
        <f>ABS(N80-O80)</f>
        <v>0</v>
      </c>
      <c r="Q80">
        <f>SUM(P80:P83)</f>
        <v>0</v>
      </c>
      <c r="R80">
        <f>COUNTA(P80:P83)</f>
        <v>4</v>
      </c>
      <c r="S80">
        <f>Q80/R80</f>
        <v>0</v>
      </c>
      <c r="V80">
        <f>AVERAGE(S80,S93,S106)</f>
        <v>0</v>
      </c>
      <c r="AA80">
        <f>ABS(Y80-Z80)</f>
        <v>0</v>
      </c>
      <c r="AB80">
        <f>SUM(AA80:AA89)</f>
        <v>0</v>
      </c>
      <c r="AC80">
        <f>COUNTA(AA80:AA89)</f>
        <v>10</v>
      </c>
      <c r="AD80">
        <f>AB80/AC80</f>
        <v>0</v>
      </c>
      <c r="AG80">
        <f>AVERAGE(AD80,AD93,AD106)</f>
        <v>0</v>
      </c>
      <c r="AL80">
        <f>ABS(AJ80-AK80)</f>
        <v>0</v>
      </c>
      <c r="AM80">
        <f>SUM(AL80:AL83)</f>
        <v>0</v>
      </c>
      <c r="AN80">
        <f>COUNTA(AL80:AL83)</f>
        <v>4</v>
      </c>
      <c r="AO80">
        <f>AM80/AN80</f>
        <v>0</v>
      </c>
      <c r="AR80">
        <f>AVERAGE(AO80,AO93,AO106)</f>
        <v>0</v>
      </c>
    </row>
    <row r="81" spans="1:41" x14ac:dyDescent="0.25">
      <c r="D81">
        <f t="shared" ref="D81:D89" si="12">ABS(B81-C81)</f>
        <v>0</v>
      </c>
      <c r="P81">
        <f t="shared" ref="P81:P83" si="13">ABS(N81-O81)</f>
        <v>0</v>
      </c>
      <c r="AA81">
        <f t="shared" ref="AA81:AA89" si="14">ABS(Y81-Z81)</f>
        <v>0</v>
      </c>
      <c r="AL81">
        <f t="shared" ref="AL81:AL83" si="15">ABS(AJ81-AK81)</f>
        <v>0</v>
      </c>
    </row>
    <row r="82" spans="1:41" x14ac:dyDescent="0.25">
      <c r="D82">
        <f t="shared" si="12"/>
        <v>0</v>
      </c>
      <c r="P82">
        <f t="shared" si="13"/>
        <v>0</v>
      </c>
      <c r="AA82">
        <f t="shared" si="14"/>
        <v>0</v>
      </c>
      <c r="AL82">
        <f t="shared" si="15"/>
        <v>0</v>
      </c>
    </row>
    <row r="83" spans="1:41" x14ac:dyDescent="0.25">
      <c r="D83">
        <f t="shared" si="12"/>
        <v>0</v>
      </c>
      <c r="P83">
        <f t="shared" si="13"/>
        <v>0</v>
      </c>
      <c r="AA83">
        <f t="shared" si="14"/>
        <v>0</v>
      </c>
      <c r="AL83">
        <f t="shared" si="15"/>
        <v>0</v>
      </c>
    </row>
    <row r="84" spans="1:41" x14ac:dyDescent="0.25">
      <c r="D84">
        <f t="shared" si="12"/>
        <v>0</v>
      </c>
      <c r="AA84">
        <f t="shared" si="14"/>
        <v>0</v>
      </c>
    </row>
    <row r="85" spans="1:41" x14ac:dyDescent="0.25">
      <c r="D85">
        <f t="shared" si="12"/>
        <v>0</v>
      </c>
      <c r="AA85">
        <f t="shared" si="14"/>
        <v>0</v>
      </c>
    </row>
    <row r="86" spans="1:41" x14ac:dyDescent="0.25">
      <c r="D86">
        <f t="shared" si="12"/>
        <v>0</v>
      </c>
      <c r="AA86">
        <f t="shared" si="14"/>
        <v>0</v>
      </c>
    </row>
    <row r="87" spans="1:41" x14ac:dyDescent="0.25">
      <c r="D87">
        <f t="shared" si="12"/>
        <v>0</v>
      </c>
      <c r="AA87">
        <f t="shared" si="14"/>
        <v>0</v>
      </c>
    </row>
    <row r="88" spans="1:41" x14ac:dyDescent="0.25">
      <c r="D88">
        <f t="shared" si="12"/>
        <v>0</v>
      </c>
      <c r="AA88">
        <f t="shared" si="14"/>
        <v>0</v>
      </c>
    </row>
    <row r="89" spans="1:41" x14ac:dyDescent="0.25">
      <c r="D89">
        <f t="shared" si="12"/>
        <v>0</v>
      </c>
      <c r="AA89">
        <f t="shared" si="14"/>
        <v>0</v>
      </c>
    </row>
    <row r="91" spans="1:41" x14ac:dyDescent="0.25">
      <c r="B91" t="s">
        <v>59</v>
      </c>
      <c r="N91" t="s">
        <v>59</v>
      </c>
    </row>
    <row r="92" spans="1:41" x14ac:dyDescent="0.25">
      <c r="A92" t="s">
        <v>38</v>
      </c>
      <c r="B92" t="s">
        <v>57</v>
      </c>
      <c r="C92" t="s">
        <v>50</v>
      </c>
      <c r="D92" t="s">
        <v>53</v>
      </c>
      <c r="E92" t="s">
        <v>54</v>
      </c>
      <c r="F92" t="s">
        <v>55</v>
      </c>
      <c r="G92" t="s">
        <v>56</v>
      </c>
      <c r="M92" t="s">
        <v>38</v>
      </c>
      <c r="N92" t="s">
        <v>57</v>
      </c>
      <c r="O92" t="s">
        <v>50</v>
      </c>
      <c r="P92" t="s">
        <v>53</v>
      </c>
      <c r="Q92" t="s">
        <v>54</v>
      </c>
      <c r="R92" t="s">
        <v>55</v>
      </c>
      <c r="S92" t="s">
        <v>56</v>
      </c>
      <c r="X92" t="s">
        <v>38</v>
      </c>
      <c r="Y92" t="s">
        <v>57</v>
      </c>
      <c r="Z92" t="s">
        <v>50</v>
      </c>
      <c r="AA92" t="s">
        <v>53</v>
      </c>
      <c r="AB92" t="s">
        <v>54</v>
      </c>
      <c r="AC92" t="s">
        <v>55</v>
      </c>
      <c r="AD92" t="s">
        <v>56</v>
      </c>
      <c r="AI92" t="s">
        <v>38</v>
      </c>
      <c r="AJ92" t="s">
        <v>57</v>
      </c>
      <c r="AK92" t="s">
        <v>50</v>
      </c>
      <c r="AL92" t="s">
        <v>53</v>
      </c>
      <c r="AM92" t="s">
        <v>54</v>
      </c>
      <c r="AN92" t="s">
        <v>55</v>
      </c>
      <c r="AO92" t="s">
        <v>56</v>
      </c>
    </row>
    <row r="93" spans="1:41" x14ac:dyDescent="0.25">
      <c r="D93">
        <f>ABS(B93-C93)</f>
        <v>0</v>
      </c>
      <c r="E93">
        <f>SUM(D93:D102)</f>
        <v>0</v>
      </c>
      <c r="F93">
        <f>COUNTA(D93:D102)</f>
        <v>10</v>
      </c>
      <c r="G93">
        <f>E93/F93</f>
        <v>0</v>
      </c>
      <c r="P93">
        <f>ABS(N93-O93)</f>
        <v>0</v>
      </c>
      <c r="Q93">
        <f>SUM(P93:P96)</f>
        <v>0</v>
      </c>
      <c r="R93">
        <f>COUNTA(P93:P96)</f>
        <v>4</v>
      </c>
      <c r="S93">
        <f>Q93/R93</f>
        <v>0</v>
      </c>
      <c r="AA93">
        <f>ABS(Y93-Z93)</f>
        <v>0</v>
      </c>
      <c r="AB93">
        <f>SUM(AA93:AA102)</f>
        <v>0</v>
      </c>
      <c r="AC93">
        <f>COUNTA(AA93:AA102)</f>
        <v>10</v>
      </c>
      <c r="AD93">
        <f>AB93/AC93</f>
        <v>0</v>
      </c>
      <c r="AL93">
        <f>ABS(AJ93-AK93)</f>
        <v>0</v>
      </c>
      <c r="AM93">
        <f>SUM(AL93:AL96)</f>
        <v>0</v>
      </c>
      <c r="AN93">
        <f>COUNTA(AL93:AL96)</f>
        <v>4</v>
      </c>
      <c r="AO93">
        <f>AM93/AN93</f>
        <v>0</v>
      </c>
    </row>
    <row r="94" spans="1:41" x14ac:dyDescent="0.25">
      <c r="D94">
        <f t="shared" ref="D94:D102" si="16">ABS(B94-C94)</f>
        <v>0</v>
      </c>
      <c r="P94">
        <f t="shared" ref="P94:P96" si="17">ABS(N94-O94)</f>
        <v>0</v>
      </c>
      <c r="AA94">
        <f t="shared" ref="AA94:AA102" si="18">ABS(Y94-Z94)</f>
        <v>0</v>
      </c>
      <c r="AL94">
        <f t="shared" ref="AL94:AL96" si="19">ABS(AJ94-AK94)</f>
        <v>0</v>
      </c>
    </row>
    <row r="95" spans="1:41" x14ac:dyDescent="0.25">
      <c r="D95">
        <f t="shared" si="16"/>
        <v>0</v>
      </c>
      <c r="P95">
        <f t="shared" si="17"/>
        <v>0</v>
      </c>
      <c r="AA95">
        <f t="shared" si="18"/>
        <v>0</v>
      </c>
      <c r="AL95">
        <f t="shared" si="19"/>
        <v>0</v>
      </c>
    </row>
    <row r="96" spans="1:41" x14ac:dyDescent="0.25">
      <c r="D96">
        <f t="shared" si="16"/>
        <v>0</v>
      </c>
      <c r="P96">
        <f t="shared" si="17"/>
        <v>0</v>
      </c>
      <c r="AA96">
        <f t="shared" si="18"/>
        <v>0</v>
      </c>
      <c r="AL96">
        <f t="shared" si="19"/>
        <v>0</v>
      </c>
    </row>
    <row r="97" spans="1:41" x14ac:dyDescent="0.25">
      <c r="D97">
        <f t="shared" si="16"/>
        <v>0</v>
      </c>
      <c r="AA97">
        <f t="shared" si="18"/>
        <v>0</v>
      </c>
    </row>
    <row r="98" spans="1:41" x14ac:dyDescent="0.25">
      <c r="D98">
        <f t="shared" si="16"/>
        <v>0</v>
      </c>
      <c r="AA98">
        <f t="shared" si="18"/>
        <v>0</v>
      </c>
    </row>
    <row r="99" spans="1:41" x14ac:dyDescent="0.25">
      <c r="D99">
        <f t="shared" si="16"/>
        <v>0</v>
      </c>
      <c r="AA99">
        <f t="shared" si="18"/>
        <v>0</v>
      </c>
    </row>
    <row r="100" spans="1:41" x14ac:dyDescent="0.25">
      <c r="D100">
        <f t="shared" si="16"/>
        <v>0</v>
      </c>
      <c r="AA100">
        <f t="shared" si="18"/>
        <v>0</v>
      </c>
    </row>
    <row r="101" spans="1:41" x14ac:dyDescent="0.25">
      <c r="D101">
        <f t="shared" si="16"/>
        <v>0</v>
      </c>
      <c r="AA101">
        <f t="shared" si="18"/>
        <v>0</v>
      </c>
    </row>
    <row r="102" spans="1:41" x14ac:dyDescent="0.25">
      <c r="D102">
        <f t="shared" si="16"/>
        <v>0</v>
      </c>
      <c r="AA102">
        <f t="shared" si="18"/>
        <v>0</v>
      </c>
    </row>
    <row r="104" spans="1:41" x14ac:dyDescent="0.25">
      <c r="B104" t="s">
        <v>60</v>
      </c>
      <c r="N104" t="s">
        <v>60</v>
      </c>
    </row>
    <row r="105" spans="1:41" x14ac:dyDescent="0.25">
      <c r="A105" t="s">
        <v>38</v>
      </c>
      <c r="B105" t="s">
        <v>57</v>
      </c>
      <c r="C105" t="s">
        <v>50</v>
      </c>
      <c r="D105" t="s">
        <v>53</v>
      </c>
      <c r="E105" t="s">
        <v>54</v>
      </c>
      <c r="F105" t="s">
        <v>55</v>
      </c>
      <c r="G105" t="s">
        <v>56</v>
      </c>
      <c r="M105" t="s">
        <v>38</v>
      </c>
      <c r="N105" t="s">
        <v>57</v>
      </c>
      <c r="O105" t="s">
        <v>50</v>
      </c>
      <c r="P105" t="s">
        <v>53</v>
      </c>
      <c r="Q105" t="s">
        <v>54</v>
      </c>
      <c r="R105" t="s">
        <v>55</v>
      </c>
      <c r="S105" t="s">
        <v>56</v>
      </c>
      <c r="X105" t="s">
        <v>38</v>
      </c>
      <c r="Y105" t="s">
        <v>57</v>
      </c>
      <c r="Z105" t="s">
        <v>50</v>
      </c>
      <c r="AA105" t="s">
        <v>53</v>
      </c>
      <c r="AB105" t="s">
        <v>54</v>
      </c>
      <c r="AC105" t="s">
        <v>55</v>
      </c>
      <c r="AD105" t="s">
        <v>56</v>
      </c>
      <c r="AI105" t="s">
        <v>38</v>
      </c>
      <c r="AJ105" t="s">
        <v>57</v>
      </c>
      <c r="AK105" t="s">
        <v>50</v>
      </c>
      <c r="AL105" t="s">
        <v>53</v>
      </c>
      <c r="AM105" t="s">
        <v>54</v>
      </c>
      <c r="AN105" t="s">
        <v>55</v>
      </c>
      <c r="AO105" t="s">
        <v>56</v>
      </c>
    </row>
    <row r="106" spans="1:41" x14ac:dyDescent="0.25">
      <c r="D106">
        <f>ABS(B106-C106)</f>
        <v>0</v>
      </c>
      <c r="E106">
        <f>SUM(D106:D114)</f>
        <v>0</v>
      </c>
      <c r="F106">
        <f>COUNTA(D106:D114)</f>
        <v>9</v>
      </c>
      <c r="G106">
        <f>E106/F106</f>
        <v>0</v>
      </c>
      <c r="P106">
        <f>ABS(N106-O106)</f>
        <v>0</v>
      </c>
      <c r="Q106">
        <f>SUM(P106:P110)</f>
        <v>0</v>
      </c>
      <c r="R106">
        <f>COUNTA(P106:P110)</f>
        <v>5</v>
      </c>
      <c r="S106">
        <f>Q106/R106</f>
        <v>0</v>
      </c>
      <c r="AA106">
        <f>ABS(Y106-Z106)</f>
        <v>0</v>
      </c>
      <c r="AB106">
        <f>SUM(AA106:AA114)</f>
        <v>0</v>
      </c>
      <c r="AC106">
        <f>COUNTA(AA106:AA114)</f>
        <v>9</v>
      </c>
      <c r="AD106">
        <f>AB106/AC106</f>
        <v>0</v>
      </c>
      <c r="AL106">
        <f>ABS(AJ106-AK106)</f>
        <v>0</v>
      </c>
      <c r="AM106">
        <f>SUM(AL106:AL110)</f>
        <v>0</v>
      </c>
      <c r="AN106">
        <f>COUNTA(AL106:AL110)</f>
        <v>5</v>
      </c>
      <c r="AO106">
        <f>AM106/AN106</f>
        <v>0</v>
      </c>
    </row>
    <row r="107" spans="1:41" x14ac:dyDescent="0.25">
      <c r="D107">
        <f t="shared" ref="D107:D114" si="20">ABS(B107-C107)</f>
        <v>0</v>
      </c>
      <c r="P107">
        <f t="shared" ref="P107:P110" si="21">ABS(N107-O107)</f>
        <v>0</v>
      </c>
      <c r="AA107">
        <f t="shared" ref="AA107:AA114" si="22">ABS(Y107-Z107)</f>
        <v>0</v>
      </c>
      <c r="AL107">
        <f t="shared" ref="AL107:AL110" si="23">ABS(AJ107-AK107)</f>
        <v>0</v>
      </c>
    </row>
    <row r="108" spans="1:41" x14ac:dyDescent="0.25">
      <c r="D108">
        <f t="shared" si="20"/>
        <v>0</v>
      </c>
      <c r="P108">
        <f t="shared" si="21"/>
        <v>0</v>
      </c>
      <c r="AA108">
        <f t="shared" si="22"/>
        <v>0</v>
      </c>
      <c r="AL108">
        <f t="shared" si="23"/>
        <v>0</v>
      </c>
    </row>
    <row r="109" spans="1:41" x14ac:dyDescent="0.25">
      <c r="D109">
        <f t="shared" si="20"/>
        <v>0</v>
      </c>
      <c r="P109">
        <f t="shared" si="21"/>
        <v>0</v>
      </c>
      <c r="AA109">
        <f t="shared" si="22"/>
        <v>0</v>
      </c>
      <c r="AL109">
        <f t="shared" si="23"/>
        <v>0</v>
      </c>
    </row>
    <row r="110" spans="1:41" x14ac:dyDescent="0.25">
      <c r="D110">
        <f t="shared" si="20"/>
        <v>0</v>
      </c>
      <c r="P110">
        <f t="shared" si="21"/>
        <v>0</v>
      </c>
      <c r="AA110">
        <f t="shared" si="22"/>
        <v>0</v>
      </c>
      <c r="AL110">
        <f t="shared" si="23"/>
        <v>0</v>
      </c>
    </row>
    <row r="111" spans="1:41" x14ac:dyDescent="0.25">
      <c r="D111">
        <f t="shared" si="20"/>
        <v>0</v>
      </c>
      <c r="AA111">
        <f t="shared" si="22"/>
        <v>0</v>
      </c>
    </row>
    <row r="112" spans="1:41" x14ac:dyDescent="0.25">
      <c r="D112">
        <f t="shared" si="20"/>
        <v>0</v>
      </c>
      <c r="AA112">
        <f t="shared" si="22"/>
        <v>0</v>
      </c>
    </row>
    <row r="113" spans="4:27" x14ac:dyDescent="0.25">
      <c r="D113">
        <f t="shared" si="20"/>
        <v>0</v>
      </c>
      <c r="AA113">
        <f t="shared" si="22"/>
        <v>0</v>
      </c>
    </row>
    <row r="114" spans="4:27" x14ac:dyDescent="0.25">
      <c r="D114">
        <f t="shared" si="20"/>
        <v>0</v>
      </c>
      <c r="AA114">
        <f t="shared" si="22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6BBC-5E13-45F8-960B-405A106C6D11}">
  <dimension ref="A1:AR114"/>
  <sheetViews>
    <sheetView workbookViewId="0">
      <selection activeCell="R50" sqref="A1:XFD1048576"/>
    </sheetView>
  </sheetViews>
  <sheetFormatPr defaultRowHeight="15" x14ac:dyDescent="0.25"/>
  <cols>
    <col min="3" max="4" width="15.85546875" bestFit="1" customWidth="1"/>
  </cols>
  <sheetData>
    <row r="1" spans="1:23" x14ac:dyDescent="0.25">
      <c r="A1" t="s">
        <v>51</v>
      </c>
      <c r="C1" t="s">
        <v>64</v>
      </c>
    </row>
    <row r="3" spans="1:23" x14ac:dyDescent="0.25">
      <c r="C3" s="2"/>
      <c r="D3" s="2"/>
      <c r="W3" s="1"/>
    </row>
    <row r="4" spans="1:23" x14ac:dyDescent="0.25">
      <c r="C4" s="2"/>
      <c r="D4" s="2"/>
      <c r="W4" s="1"/>
    </row>
    <row r="5" spans="1:23" x14ac:dyDescent="0.25">
      <c r="C5" s="2"/>
      <c r="D5" s="2"/>
      <c r="W5" s="1"/>
    </row>
    <row r="6" spans="1:23" x14ac:dyDescent="0.25">
      <c r="C6" s="2"/>
      <c r="D6" s="2"/>
      <c r="W6" s="1"/>
    </row>
    <row r="7" spans="1:23" x14ac:dyDescent="0.25">
      <c r="C7" s="2"/>
      <c r="D7" s="2"/>
      <c r="W7" s="1"/>
    </row>
    <row r="8" spans="1:23" x14ac:dyDescent="0.25">
      <c r="C8" s="2"/>
      <c r="D8" s="2"/>
      <c r="W8" s="1"/>
    </row>
    <row r="9" spans="1:23" x14ac:dyDescent="0.25">
      <c r="C9" s="2"/>
      <c r="D9" s="2"/>
      <c r="W9" s="1"/>
    </row>
    <row r="10" spans="1:23" x14ac:dyDescent="0.25">
      <c r="C10" s="2"/>
      <c r="D10" s="2"/>
      <c r="W10" s="1"/>
    </row>
    <row r="11" spans="1:23" x14ac:dyDescent="0.25">
      <c r="C11" s="2"/>
      <c r="D11" s="2"/>
      <c r="W11" s="1"/>
    </row>
    <row r="12" spans="1:23" x14ac:dyDescent="0.25">
      <c r="C12" s="2"/>
      <c r="D12" s="2"/>
      <c r="T12" s="1"/>
      <c r="W12" s="1"/>
    </row>
    <row r="13" spans="1:23" x14ac:dyDescent="0.25">
      <c r="C13" t="s">
        <v>65</v>
      </c>
    </row>
    <row r="15" spans="1:23" x14ac:dyDescent="0.25">
      <c r="C15" s="2"/>
      <c r="D15" s="2"/>
      <c r="W15" s="1"/>
    </row>
    <row r="16" spans="1:23" x14ac:dyDescent="0.25">
      <c r="C16" s="2"/>
      <c r="D16" s="2"/>
      <c r="W16" s="1"/>
    </row>
    <row r="17" spans="3:23" x14ac:dyDescent="0.25">
      <c r="C17" s="2"/>
      <c r="D17" s="2"/>
      <c r="W17" s="1"/>
    </row>
    <row r="18" spans="3:23" x14ac:dyDescent="0.25">
      <c r="C18" s="2"/>
      <c r="D18" s="2"/>
      <c r="W18" s="1"/>
    </row>
    <row r="19" spans="3:23" x14ac:dyDescent="0.25">
      <c r="C19" s="2"/>
      <c r="D19" s="2"/>
      <c r="W19" s="1"/>
    </row>
    <row r="20" spans="3:23" x14ac:dyDescent="0.25">
      <c r="C20" s="2"/>
      <c r="D20" s="2"/>
      <c r="W20" s="1"/>
    </row>
    <row r="21" spans="3:23" x14ac:dyDescent="0.25">
      <c r="C21" s="2"/>
      <c r="D21" s="2"/>
      <c r="T21" s="1"/>
      <c r="W21" s="1"/>
    </row>
    <row r="22" spans="3:23" x14ac:dyDescent="0.25">
      <c r="C22" s="2"/>
      <c r="D22" s="2"/>
      <c r="W22" s="1"/>
    </row>
    <row r="23" spans="3:23" x14ac:dyDescent="0.25">
      <c r="C23" s="2"/>
      <c r="D23" s="2"/>
      <c r="W23" s="1"/>
    </row>
    <row r="24" spans="3:23" x14ac:dyDescent="0.25">
      <c r="C24" s="2"/>
      <c r="D24" s="2"/>
      <c r="W24" s="1"/>
    </row>
    <row r="25" spans="3:23" x14ac:dyDescent="0.25">
      <c r="C25" t="s">
        <v>66</v>
      </c>
    </row>
    <row r="27" spans="3:23" x14ac:dyDescent="0.25">
      <c r="C27" s="2"/>
      <c r="D27" s="2"/>
      <c r="W27" s="1"/>
    </row>
    <row r="28" spans="3:23" x14ac:dyDescent="0.25">
      <c r="C28" s="2"/>
      <c r="D28" s="2"/>
      <c r="W28" s="1"/>
    </row>
    <row r="29" spans="3:23" x14ac:dyDescent="0.25">
      <c r="C29" s="2"/>
      <c r="D29" s="2"/>
      <c r="W29" s="1"/>
    </row>
    <row r="30" spans="3:23" x14ac:dyDescent="0.25">
      <c r="C30" s="2"/>
      <c r="D30" s="2"/>
      <c r="W30" s="1"/>
    </row>
    <row r="31" spans="3:23" x14ac:dyDescent="0.25">
      <c r="C31" s="2"/>
      <c r="D31" s="2"/>
      <c r="W31" s="1"/>
    </row>
    <row r="32" spans="3:23" x14ac:dyDescent="0.25">
      <c r="C32" s="2"/>
      <c r="D32" s="2"/>
      <c r="W32" s="1"/>
    </row>
    <row r="33" spans="1:44" x14ac:dyDescent="0.25">
      <c r="C33" s="2"/>
      <c r="D33" s="2"/>
      <c r="W33" s="1"/>
    </row>
    <row r="34" spans="1:44" x14ac:dyDescent="0.25">
      <c r="C34" s="2"/>
      <c r="D34" s="2"/>
      <c r="W34" s="1"/>
    </row>
    <row r="35" spans="1:44" x14ac:dyDescent="0.25">
      <c r="C35" s="2"/>
      <c r="D35" s="2"/>
      <c r="W35" s="1"/>
    </row>
    <row r="37" spans="1:44" x14ac:dyDescent="0.25">
      <c r="B37" t="s">
        <v>49</v>
      </c>
      <c r="N37" t="s">
        <v>49</v>
      </c>
      <c r="O37" t="s">
        <v>62</v>
      </c>
      <c r="Y37" t="s">
        <v>49</v>
      </c>
      <c r="AJ37" t="s">
        <v>49</v>
      </c>
      <c r="AK37" t="s">
        <v>62</v>
      </c>
    </row>
    <row r="38" spans="1:44" x14ac:dyDescent="0.25">
      <c r="B38" t="s">
        <v>58</v>
      </c>
      <c r="N38" t="s">
        <v>58</v>
      </c>
    </row>
    <row r="39" spans="1:44" x14ac:dyDescent="0.25">
      <c r="A39" t="s">
        <v>38</v>
      </c>
      <c r="B39" t="s">
        <v>52</v>
      </c>
      <c r="C39" t="s">
        <v>39</v>
      </c>
      <c r="D39" t="s">
        <v>53</v>
      </c>
      <c r="E39" t="s">
        <v>54</v>
      </c>
      <c r="F39" t="s">
        <v>55</v>
      </c>
      <c r="G39" t="s">
        <v>56</v>
      </c>
      <c r="J39" t="s">
        <v>61</v>
      </c>
      <c r="M39" t="s">
        <v>38</v>
      </c>
      <c r="N39" t="s">
        <v>52</v>
      </c>
      <c r="O39" t="s">
        <v>39</v>
      </c>
      <c r="P39" t="s">
        <v>53</v>
      </c>
      <c r="Q39" t="s">
        <v>54</v>
      </c>
      <c r="R39" t="s">
        <v>55</v>
      </c>
      <c r="S39" t="s">
        <v>56</v>
      </c>
      <c r="V39" t="s">
        <v>61</v>
      </c>
      <c r="X39" t="s">
        <v>38</v>
      </c>
      <c r="Y39" t="s">
        <v>52</v>
      </c>
      <c r="Z39" t="s">
        <v>39</v>
      </c>
      <c r="AA39" t="s">
        <v>53</v>
      </c>
      <c r="AB39" t="s">
        <v>54</v>
      </c>
      <c r="AC39" t="s">
        <v>55</v>
      </c>
      <c r="AD39" t="s">
        <v>56</v>
      </c>
      <c r="AG39" t="s">
        <v>61</v>
      </c>
      <c r="AI39" t="s">
        <v>38</v>
      </c>
      <c r="AJ39" t="s">
        <v>52</v>
      </c>
      <c r="AK39" t="s">
        <v>39</v>
      </c>
      <c r="AL39" t="s">
        <v>53</v>
      </c>
      <c r="AM39" t="s">
        <v>54</v>
      </c>
      <c r="AN39" t="s">
        <v>55</v>
      </c>
      <c r="AO39" t="s">
        <v>56</v>
      </c>
      <c r="AR39" t="s">
        <v>61</v>
      </c>
    </row>
    <row r="40" spans="1:44" x14ac:dyDescent="0.25">
      <c r="D40">
        <f>ABS(B40-C40)</f>
        <v>0</v>
      </c>
      <c r="E40">
        <f>SUM(D40:D49)</f>
        <v>0</v>
      </c>
      <c r="F40">
        <f>COUNTA(D40:D49)</f>
        <v>10</v>
      </c>
      <c r="G40">
        <f>E40/F40</f>
        <v>0</v>
      </c>
      <c r="J40">
        <f>AVERAGE(G40,G53,G66)</f>
        <v>0</v>
      </c>
      <c r="P40">
        <f>ABS(N40-O40)</f>
        <v>0</v>
      </c>
      <c r="Q40">
        <f>SUM(P40:P43)</f>
        <v>0</v>
      </c>
      <c r="R40">
        <f>COUNTA(P40:P43)</f>
        <v>4</v>
      </c>
      <c r="S40">
        <f>Q40/R40</f>
        <v>0</v>
      </c>
      <c r="V40">
        <f>AVERAGE(S40,S53,S66)</f>
        <v>0</v>
      </c>
      <c r="AA40">
        <f>ABS(Y40-Z40)</f>
        <v>0</v>
      </c>
      <c r="AB40">
        <f>SUM(AA40:AA49)</f>
        <v>0</v>
      </c>
      <c r="AC40">
        <f>COUNTA(AA40:AA49)</f>
        <v>10</v>
      </c>
      <c r="AD40">
        <f>AB40/AC40</f>
        <v>0</v>
      </c>
      <c r="AG40">
        <f>AVERAGE(AD40,AD53,AD66)</f>
        <v>0</v>
      </c>
      <c r="AL40">
        <f>ABS(AJ40-AK40)</f>
        <v>0</v>
      </c>
      <c r="AM40">
        <f>SUM(AL40:AL43)</f>
        <v>0</v>
      </c>
      <c r="AN40">
        <f>COUNTA(AL40:AL43)</f>
        <v>4</v>
      </c>
      <c r="AO40">
        <f>AM40/AN40</f>
        <v>0</v>
      </c>
      <c r="AR40">
        <f>AVERAGE(AO40,AO53,AO66)</f>
        <v>0</v>
      </c>
    </row>
    <row r="41" spans="1:44" x14ac:dyDescent="0.25">
      <c r="D41">
        <f t="shared" ref="D41:D49" si="0">ABS(B41-C41)</f>
        <v>0</v>
      </c>
      <c r="P41">
        <f t="shared" ref="P41:P43" si="1">ABS(N41-O41)</f>
        <v>0</v>
      </c>
      <c r="AA41">
        <f t="shared" ref="AA41:AA49" si="2">ABS(Y41-Z41)</f>
        <v>0</v>
      </c>
      <c r="AL41">
        <f t="shared" ref="AL41:AL43" si="3">ABS(AJ41-AK41)</f>
        <v>0</v>
      </c>
    </row>
    <row r="42" spans="1:44" x14ac:dyDescent="0.25">
      <c r="D42">
        <f t="shared" si="0"/>
        <v>0</v>
      </c>
      <c r="P42">
        <f t="shared" si="1"/>
        <v>0</v>
      </c>
      <c r="AA42">
        <f t="shared" si="2"/>
        <v>0</v>
      </c>
      <c r="AL42">
        <f t="shared" si="3"/>
        <v>0</v>
      </c>
    </row>
    <row r="43" spans="1:44" x14ac:dyDescent="0.25">
      <c r="D43">
        <f t="shared" si="0"/>
        <v>0</v>
      </c>
      <c r="P43">
        <f t="shared" si="1"/>
        <v>0</v>
      </c>
      <c r="AA43">
        <f t="shared" si="2"/>
        <v>0</v>
      </c>
      <c r="AL43">
        <f t="shared" si="3"/>
        <v>0</v>
      </c>
    </row>
    <row r="44" spans="1:44" x14ac:dyDescent="0.25">
      <c r="D44">
        <f t="shared" si="0"/>
        <v>0</v>
      </c>
      <c r="AA44">
        <f t="shared" si="2"/>
        <v>0</v>
      </c>
    </row>
    <row r="45" spans="1:44" x14ac:dyDescent="0.25">
      <c r="D45">
        <f t="shared" si="0"/>
        <v>0</v>
      </c>
      <c r="AA45">
        <f t="shared" si="2"/>
        <v>0</v>
      </c>
    </row>
    <row r="46" spans="1:44" x14ac:dyDescent="0.25">
      <c r="D46">
        <f t="shared" si="0"/>
        <v>0</v>
      </c>
      <c r="AA46">
        <f t="shared" si="2"/>
        <v>0</v>
      </c>
    </row>
    <row r="47" spans="1:44" x14ac:dyDescent="0.25">
      <c r="D47">
        <f t="shared" si="0"/>
        <v>0</v>
      </c>
      <c r="AA47">
        <f t="shared" si="2"/>
        <v>0</v>
      </c>
    </row>
    <row r="48" spans="1:44" x14ac:dyDescent="0.25">
      <c r="D48">
        <f t="shared" si="0"/>
        <v>0</v>
      </c>
      <c r="AA48">
        <f t="shared" si="2"/>
        <v>0</v>
      </c>
    </row>
    <row r="49" spans="1:41" x14ac:dyDescent="0.25">
      <c r="D49">
        <f t="shared" si="0"/>
        <v>0</v>
      </c>
      <c r="AA49">
        <f t="shared" si="2"/>
        <v>0</v>
      </c>
    </row>
    <row r="51" spans="1:41" x14ac:dyDescent="0.25">
      <c r="B51" t="s">
        <v>59</v>
      </c>
      <c r="N51" t="s">
        <v>59</v>
      </c>
    </row>
    <row r="52" spans="1:41" x14ac:dyDescent="0.25">
      <c r="A52" t="s">
        <v>38</v>
      </c>
      <c r="B52" t="s">
        <v>52</v>
      </c>
      <c r="C52" t="s">
        <v>39</v>
      </c>
      <c r="D52" t="s">
        <v>53</v>
      </c>
      <c r="E52" t="s">
        <v>54</v>
      </c>
      <c r="F52" t="s">
        <v>55</v>
      </c>
      <c r="G52" t="s">
        <v>56</v>
      </c>
      <c r="M52" t="s">
        <v>38</v>
      </c>
      <c r="N52" t="s">
        <v>52</v>
      </c>
      <c r="O52" t="s">
        <v>39</v>
      </c>
      <c r="P52" t="s">
        <v>53</v>
      </c>
      <c r="Q52" t="s">
        <v>54</v>
      </c>
      <c r="R52" t="s">
        <v>55</v>
      </c>
      <c r="S52" t="s">
        <v>56</v>
      </c>
      <c r="X52" t="s">
        <v>38</v>
      </c>
      <c r="Y52" t="s">
        <v>52</v>
      </c>
      <c r="Z52" t="s">
        <v>39</v>
      </c>
      <c r="AA52" t="s">
        <v>53</v>
      </c>
      <c r="AB52" t="s">
        <v>54</v>
      </c>
      <c r="AC52" t="s">
        <v>55</v>
      </c>
      <c r="AD52" t="s">
        <v>56</v>
      </c>
      <c r="AI52" t="s">
        <v>38</v>
      </c>
      <c r="AJ52" t="s">
        <v>52</v>
      </c>
      <c r="AK52" t="s">
        <v>39</v>
      </c>
      <c r="AL52" t="s">
        <v>53</v>
      </c>
      <c r="AM52" t="s">
        <v>54</v>
      </c>
      <c r="AN52" t="s">
        <v>55</v>
      </c>
      <c r="AO52" t="s">
        <v>56</v>
      </c>
    </row>
    <row r="53" spans="1:41" x14ac:dyDescent="0.25">
      <c r="D53">
        <f>ABS(B53-C53)</f>
        <v>0</v>
      </c>
      <c r="E53">
        <f>SUM(D53:D62)</f>
        <v>0</v>
      </c>
      <c r="F53">
        <f>COUNTA(D53:D62)</f>
        <v>10</v>
      </c>
      <c r="G53">
        <f>E53/F53</f>
        <v>0</v>
      </c>
      <c r="P53">
        <f>ABS(N53-O53)</f>
        <v>0</v>
      </c>
      <c r="Q53">
        <f>SUM(P53:P56)</f>
        <v>0</v>
      </c>
      <c r="R53">
        <f>COUNTA(P53:P56)</f>
        <v>4</v>
      </c>
      <c r="S53">
        <f>Q53/R53</f>
        <v>0</v>
      </c>
      <c r="AA53">
        <f>ABS(Y53-Z53)</f>
        <v>0</v>
      </c>
      <c r="AB53">
        <f>SUM(AA53:AA62)</f>
        <v>0</v>
      </c>
      <c r="AC53">
        <f>COUNTA(AA53:AA62)</f>
        <v>10</v>
      </c>
      <c r="AD53">
        <f>AB53/AC53</f>
        <v>0</v>
      </c>
      <c r="AL53">
        <f>ABS(AJ53-AK53)</f>
        <v>0</v>
      </c>
      <c r="AM53">
        <f>SUM(AL53:AL56)</f>
        <v>0</v>
      </c>
      <c r="AN53">
        <f>COUNTA(AL53:AL56)</f>
        <v>4</v>
      </c>
      <c r="AO53">
        <f>AM53/AN53</f>
        <v>0</v>
      </c>
    </row>
    <row r="54" spans="1:41" x14ac:dyDescent="0.25">
      <c r="D54">
        <f t="shared" ref="D54:D62" si="4">ABS(B54-C54)</f>
        <v>0</v>
      </c>
      <c r="P54">
        <f t="shared" ref="P54:P56" si="5">ABS(N54-O54)</f>
        <v>0</v>
      </c>
      <c r="AA54">
        <f t="shared" ref="AA54:AA62" si="6">ABS(Y54-Z54)</f>
        <v>0</v>
      </c>
      <c r="AL54">
        <f t="shared" ref="AL54:AL56" si="7">ABS(AJ54-AK54)</f>
        <v>0</v>
      </c>
    </row>
    <row r="55" spans="1:41" x14ac:dyDescent="0.25">
      <c r="D55">
        <f t="shared" si="4"/>
        <v>0</v>
      </c>
      <c r="P55">
        <f t="shared" si="5"/>
        <v>0</v>
      </c>
      <c r="AA55">
        <f t="shared" si="6"/>
        <v>0</v>
      </c>
      <c r="AL55">
        <f t="shared" si="7"/>
        <v>0</v>
      </c>
    </row>
    <row r="56" spans="1:41" x14ac:dyDescent="0.25">
      <c r="D56">
        <f t="shared" si="4"/>
        <v>0</v>
      </c>
      <c r="P56">
        <f t="shared" si="5"/>
        <v>0</v>
      </c>
      <c r="AA56">
        <f t="shared" si="6"/>
        <v>0</v>
      </c>
      <c r="AL56">
        <f t="shared" si="7"/>
        <v>0</v>
      </c>
    </row>
    <row r="57" spans="1:41" x14ac:dyDescent="0.25">
      <c r="D57">
        <f t="shared" si="4"/>
        <v>0</v>
      </c>
      <c r="AA57">
        <f t="shared" si="6"/>
        <v>0</v>
      </c>
    </row>
    <row r="58" spans="1:41" x14ac:dyDescent="0.25">
      <c r="D58">
        <f t="shared" si="4"/>
        <v>0</v>
      </c>
      <c r="AA58">
        <f t="shared" si="6"/>
        <v>0</v>
      </c>
    </row>
    <row r="59" spans="1:41" x14ac:dyDescent="0.25">
      <c r="D59">
        <f t="shared" si="4"/>
        <v>0</v>
      </c>
      <c r="AA59">
        <f t="shared" si="6"/>
        <v>0</v>
      </c>
    </row>
    <row r="60" spans="1:41" x14ac:dyDescent="0.25">
      <c r="D60">
        <f t="shared" si="4"/>
        <v>0</v>
      </c>
      <c r="AA60">
        <f t="shared" si="6"/>
        <v>0</v>
      </c>
    </row>
    <row r="61" spans="1:41" x14ac:dyDescent="0.25">
      <c r="D61">
        <f t="shared" si="4"/>
        <v>0</v>
      </c>
      <c r="AA61">
        <f t="shared" si="6"/>
        <v>0</v>
      </c>
    </row>
    <row r="62" spans="1:41" x14ac:dyDescent="0.25">
      <c r="D62">
        <f t="shared" si="4"/>
        <v>0</v>
      </c>
      <c r="AA62">
        <f t="shared" si="6"/>
        <v>0</v>
      </c>
    </row>
    <row r="64" spans="1:41" x14ac:dyDescent="0.25">
      <c r="B64" t="s">
        <v>60</v>
      </c>
      <c r="N64" t="s">
        <v>60</v>
      </c>
    </row>
    <row r="65" spans="1:44" x14ac:dyDescent="0.25">
      <c r="A65" t="s">
        <v>38</v>
      </c>
      <c r="B65" t="s">
        <v>52</v>
      </c>
      <c r="C65" t="s">
        <v>39</v>
      </c>
      <c r="D65" t="s">
        <v>53</v>
      </c>
      <c r="E65" t="s">
        <v>54</v>
      </c>
      <c r="F65" t="s">
        <v>55</v>
      </c>
      <c r="G65" t="s">
        <v>56</v>
      </c>
      <c r="M65" t="s">
        <v>38</v>
      </c>
      <c r="N65" t="s">
        <v>52</v>
      </c>
      <c r="O65" t="s">
        <v>39</v>
      </c>
      <c r="P65" t="s">
        <v>53</v>
      </c>
      <c r="Q65" t="s">
        <v>54</v>
      </c>
      <c r="R65" t="s">
        <v>55</v>
      </c>
      <c r="S65" t="s">
        <v>56</v>
      </c>
      <c r="X65" t="s">
        <v>38</v>
      </c>
      <c r="Y65" t="s">
        <v>52</v>
      </c>
      <c r="Z65" t="s">
        <v>39</v>
      </c>
      <c r="AA65" t="s">
        <v>53</v>
      </c>
      <c r="AB65" t="s">
        <v>54</v>
      </c>
      <c r="AC65" t="s">
        <v>55</v>
      </c>
      <c r="AD65" t="s">
        <v>56</v>
      </c>
      <c r="AI65" t="s">
        <v>38</v>
      </c>
      <c r="AJ65" t="s">
        <v>52</v>
      </c>
      <c r="AK65" t="s">
        <v>39</v>
      </c>
      <c r="AL65" t="s">
        <v>53</v>
      </c>
      <c r="AM65" t="s">
        <v>54</v>
      </c>
      <c r="AN65" t="s">
        <v>55</v>
      </c>
      <c r="AO65" t="s">
        <v>56</v>
      </c>
    </row>
    <row r="66" spans="1:44" x14ac:dyDescent="0.25">
      <c r="D66">
        <f>ABS(B66-C66)</f>
        <v>0</v>
      </c>
      <c r="E66">
        <f>SUM(D66:D74)</f>
        <v>0</v>
      </c>
      <c r="F66">
        <f>COUNTA(D66:D74)</f>
        <v>9</v>
      </c>
      <c r="G66">
        <f>E66/F66</f>
        <v>0</v>
      </c>
      <c r="P66">
        <f>ABS(N66-O66)</f>
        <v>0</v>
      </c>
      <c r="Q66">
        <f>SUM(P66:P70)</f>
        <v>0</v>
      </c>
      <c r="R66">
        <f>COUNTA(P66:P70)</f>
        <v>5</v>
      </c>
      <c r="S66">
        <f>Q66/R66</f>
        <v>0</v>
      </c>
      <c r="AA66">
        <f>ABS(Y66-Z66)</f>
        <v>0</v>
      </c>
      <c r="AB66">
        <f>SUM(AA66:AA74)</f>
        <v>0</v>
      </c>
      <c r="AC66">
        <f>COUNTA(AA66:AA74)</f>
        <v>9</v>
      </c>
      <c r="AD66">
        <f>AB66/AC66</f>
        <v>0</v>
      </c>
      <c r="AL66">
        <f>ABS(AJ66-AK66)</f>
        <v>0</v>
      </c>
      <c r="AM66">
        <f>SUM(AL66:AL70)</f>
        <v>0</v>
      </c>
      <c r="AN66">
        <f>COUNTA(AL66:AL70)</f>
        <v>5</v>
      </c>
      <c r="AO66">
        <f>AM66/AN66</f>
        <v>0</v>
      </c>
    </row>
    <row r="67" spans="1:44" x14ac:dyDescent="0.25">
      <c r="D67">
        <f t="shared" ref="D67:D74" si="8">ABS(B67-C67)</f>
        <v>0</v>
      </c>
      <c r="P67">
        <f t="shared" ref="P67:P70" si="9">ABS(N67-O67)</f>
        <v>0</v>
      </c>
      <c r="AA67">
        <f t="shared" ref="AA67:AA74" si="10">ABS(Y67-Z67)</f>
        <v>0</v>
      </c>
      <c r="AL67">
        <f t="shared" ref="AL67:AL70" si="11">ABS(AJ67-AK67)</f>
        <v>0</v>
      </c>
    </row>
    <row r="68" spans="1:44" x14ac:dyDescent="0.25">
      <c r="D68">
        <f t="shared" si="8"/>
        <v>0</v>
      </c>
      <c r="P68">
        <f t="shared" si="9"/>
        <v>0</v>
      </c>
      <c r="AA68">
        <f t="shared" si="10"/>
        <v>0</v>
      </c>
      <c r="AL68">
        <f t="shared" si="11"/>
        <v>0</v>
      </c>
    </row>
    <row r="69" spans="1:44" x14ac:dyDescent="0.25">
      <c r="D69">
        <f t="shared" si="8"/>
        <v>0</v>
      </c>
      <c r="P69">
        <f t="shared" si="9"/>
        <v>0</v>
      </c>
      <c r="AA69">
        <f t="shared" si="10"/>
        <v>0</v>
      </c>
      <c r="AL69">
        <f t="shared" si="11"/>
        <v>0</v>
      </c>
    </row>
    <row r="70" spans="1:44" x14ac:dyDescent="0.25">
      <c r="D70">
        <f t="shared" si="8"/>
        <v>0</v>
      </c>
      <c r="P70">
        <f t="shared" si="9"/>
        <v>0</v>
      </c>
      <c r="AA70">
        <f t="shared" si="10"/>
        <v>0</v>
      </c>
      <c r="AL70">
        <f t="shared" si="11"/>
        <v>0</v>
      </c>
    </row>
    <row r="71" spans="1:44" x14ac:dyDescent="0.25">
      <c r="D71">
        <f t="shared" si="8"/>
        <v>0</v>
      </c>
      <c r="AA71">
        <f t="shared" si="10"/>
        <v>0</v>
      </c>
    </row>
    <row r="72" spans="1:44" x14ac:dyDescent="0.25">
      <c r="D72">
        <f t="shared" si="8"/>
        <v>0</v>
      </c>
      <c r="AA72">
        <f t="shared" si="10"/>
        <v>0</v>
      </c>
    </row>
    <row r="73" spans="1:44" x14ac:dyDescent="0.25">
      <c r="D73">
        <f t="shared" si="8"/>
        <v>0</v>
      </c>
      <c r="AA73">
        <f t="shared" si="10"/>
        <v>0</v>
      </c>
    </row>
    <row r="74" spans="1:44" x14ac:dyDescent="0.25">
      <c r="D74">
        <f t="shared" si="8"/>
        <v>0</v>
      </c>
      <c r="AA74">
        <f t="shared" si="10"/>
        <v>0</v>
      </c>
    </row>
    <row r="77" spans="1:44" x14ac:dyDescent="0.25">
      <c r="B77" t="s">
        <v>63</v>
      </c>
      <c r="N77" t="s">
        <v>63</v>
      </c>
      <c r="O77" t="s">
        <v>62</v>
      </c>
      <c r="Y77" t="s">
        <v>63</v>
      </c>
      <c r="AJ77" t="s">
        <v>63</v>
      </c>
      <c r="AK77" t="s">
        <v>62</v>
      </c>
    </row>
    <row r="78" spans="1:44" x14ac:dyDescent="0.25">
      <c r="B78" t="s">
        <v>58</v>
      </c>
      <c r="N78" t="s">
        <v>58</v>
      </c>
    </row>
    <row r="79" spans="1:44" x14ac:dyDescent="0.25">
      <c r="A79" t="s">
        <v>38</v>
      </c>
      <c r="B79" t="s">
        <v>57</v>
      </c>
      <c r="C79" t="s">
        <v>50</v>
      </c>
      <c r="D79" t="s">
        <v>53</v>
      </c>
      <c r="E79" t="s">
        <v>54</v>
      </c>
      <c r="F79" t="s">
        <v>55</v>
      </c>
      <c r="G79" t="s">
        <v>56</v>
      </c>
      <c r="J79" t="s">
        <v>61</v>
      </c>
      <c r="M79" t="s">
        <v>38</v>
      </c>
      <c r="N79" t="s">
        <v>57</v>
      </c>
      <c r="O79" t="s">
        <v>50</v>
      </c>
      <c r="P79" t="s">
        <v>53</v>
      </c>
      <c r="Q79" t="s">
        <v>54</v>
      </c>
      <c r="R79" t="s">
        <v>55</v>
      </c>
      <c r="S79" t="s">
        <v>56</v>
      </c>
      <c r="V79" t="s">
        <v>61</v>
      </c>
      <c r="X79" t="s">
        <v>38</v>
      </c>
      <c r="Y79" t="s">
        <v>57</v>
      </c>
      <c r="Z79" t="s">
        <v>50</v>
      </c>
      <c r="AA79" t="s">
        <v>53</v>
      </c>
      <c r="AB79" t="s">
        <v>54</v>
      </c>
      <c r="AC79" t="s">
        <v>55</v>
      </c>
      <c r="AD79" t="s">
        <v>56</v>
      </c>
      <c r="AG79" t="s">
        <v>61</v>
      </c>
      <c r="AI79" t="s">
        <v>38</v>
      </c>
      <c r="AJ79" t="s">
        <v>57</v>
      </c>
      <c r="AK79" t="s">
        <v>50</v>
      </c>
      <c r="AL79" t="s">
        <v>53</v>
      </c>
      <c r="AM79" t="s">
        <v>54</v>
      </c>
      <c r="AN79" t="s">
        <v>55</v>
      </c>
      <c r="AO79" t="s">
        <v>56</v>
      </c>
      <c r="AR79" t="s">
        <v>61</v>
      </c>
    </row>
    <row r="80" spans="1:44" x14ac:dyDescent="0.25">
      <c r="D80">
        <f>ABS(B80-C80)</f>
        <v>0</v>
      </c>
      <c r="E80">
        <f>SUM(D80:D89)</f>
        <v>0</v>
      </c>
      <c r="F80">
        <f>COUNTA(D80:D89)</f>
        <v>10</v>
      </c>
      <c r="G80">
        <f>E80/F80</f>
        <v>0</v>
      </c>
      <c r="J80">
        <f>AVERAGE(G80,G93,G106)</f>
        <v>0</v>
      </c>
      <c r="P80">
        <f>ABS(N80-O80)</f>
        <v>0</v>
      </c>
      <c r="Q80">
        <f>SUM(P80:P83)</f>
        <v>0</v>
      </c>
      <c r="R80">
        <f>COUNTA(P80:P83)</f>
        <v>4</v>
      </c>
      <c r="S80">
        <f>Q80/R80</f>
        <v>0</v>
      </c>
      <c r="V80">
        <f>AVERAGE(S80,S93,S106)</f>
        <v>0</v>
      </c>
      <c r="AA80">
        <f>ABS(Y80-Z80)</f>
        <v>0</v>
      </c>
      <c r="AB80">
        <f>SUM(AA80:AA89)</f>
        <v>0</v>
      </c>
      <c r="AC80">
        <f>COUNTA(AA80:AA89)</f>
        <v>10</v>
      </c>
      <c r="AD80">
        <f>AB80/AC80</f>
        <v>0</v>
      </c>
      <c r="AG80">
        <f>AVERAGE(AD80,AD93,AD106)</f>
        <v>0</v>
      </c>
      <c r="AL80">
        <f>ABS(AJ80-AK80)</f>
        <v>0</v>
      </c>
      <c r="AM80">
        <f>SUM(AL80:AL83)</f>
        <v>0</v>
      </c>
      <c r="AN80">
        <f>COUNTA(AL80:AL83)</f>
        <v>4</v>
      </c>
      <c r="AO80">
        <f>AM80/AN80</f>
        <v>0</v>
      </c>
      <c r="AR80">
        <f>AVERAGE(AO80,AO93,AO106)</f>
        <v>0</v>
      </c>
    </row>
    <row r="81" spans="1:41" x14ac:dyDescent="0.25">
      <c r="D81">
        <f t="shared" ref="D81:D89" si="12">ABS(B81-C81)</f>
        <v>0</v>
      </c>
      <c r="P81">
        <f t="shared" ref="P81:P83" si="13">ABS(N81-O81)</f>
        <v>0</v>
      </c>
      <c r="AA81">
        <f t="shared" ref="AA81:AA89" si="14">ABS(Y81-Z81)</f>
        <v>0</v>
      </c>
      <c r="AL81">
        <f t="shared" ref="AL81:AL83" si="15">ABS(AJ81-AK81)</f>
        <v>0</v>
      </c>
    </row>
    <row r="82" spans="1:41" x14ac:dyDescent="0.25">
      <c r="D82">
        <f t="shared" si="12"/>
        <v>0</v>
      </c>
      <c r="P82">
        <f t="shared" si="13"/>
        <v>0</v>
      </c>
      <c r="AA82">
        <f t="shared" si="14"/>
        <v>0</v>
      </c>
      <c r="AL82">
        <f t="shared" si="15"/>
        <v>0</v>
      </c>
    </row>
    <row r="83" spans="1:41" x14ac:dyDescent="0.25">
      <c r="D83">
        <f t="shared" si="12"/>
        <v>0</v>
      </c>
      <c r="P83">
        <f t="shared" si="13"/>
        <v>0</v>
      </c>
      <c r="AA83">
        <f t="shared" si="14"/>
        <v>0</v>
      </c>
      <c r="AL83">
        <f t="shared" si="15"/>
        <v>0</v>
      </c>
    </row>
    <row r="84" spans="1:41" x14ac:dyDescent="0.25">
      <c r="D84">
        <f t="shared" si="12"/>
        <v>0</v>
      </c>
      <c r="AA84">
        <f t="shared" si="14"/>
        <v>0</v>
      </c>
    </row>
    <row r="85" spans="1:41" x14ac:dyDescent="0.25">
      <c r="D85">
        <f t="shared" si="12"/>
        <v>0</v>
      </c>
      <c r="AA85">
        <f t="shared" si="14"/>
        <v>0</v>
      </c>
    </row>
    <row r="86" spans="1:41" x14ac:dyDescent="0.25">
      <c r="D86">
        <f t="shared" si="12"/>
        <v>0</v>
      </c>
      <c r="AA86">
        <f t="shared" si="14"/>
        <v>0</v>
      </c>
    </row>
    <row r="87" spans="1:41" x14ac:dyDescent="0.25">
      <c r="D87">
        <f t="shared" si="12"/>
        <v>0</v>
      </c>
      <c r="AA87">
        <f t="shared" si="14"/>
        <v>0</v>
      </c>
    </row>
    <row r="88" spans="1:41" x14ac:dyDescent="0.25">
      <c r="D88">
        <f t="shared" si="12"/>
        <v>0</v>
      </c>
      <c r="AA88">
        <f t="shared" si="14"/>
        <v>0</v>
      </c>
    </row>
    <row r="89" spans="1:41" x14ac:dyDescent="0.25">
      <c r="D89">
        <f t="shared" si="12"/>
        <v>0</v>
      </c>
      <c r="AA89">
        <f t="shared" si="14"/>
        <v>0</v>
      </c>
    </row>
    <row r="91" spans="1:41" x14ac:dyDescent="0.25">
      <c r="B91" t="s">
        <v>59</v>
      </c>
      <c r="N91" t="s">
        <v>59</v>
      </c>
    </row>
    <row r="92" spans="1:41" x14ac:dyDescent="0.25">
      <c r="A92" t="s">
        <v>38</v>
      </c>
      <c r="B92" t="s">
        <v>57</v>
      </c>
      <c r="C92" t="s">
        <v>50</v>
      </c>
      <c r="D92" t="s">
        <v>53</v>
      </c>
      <c r="E92" t="s">
        <v>54</v>
      </c>
      <c r="F92" t="s">
        <v>55</v>
      </c>
      <c r="G92" t="s">
        <v>56</v>
      </c>
      <c r="M92" t="s">
        <v>38</v>
      </c>
      <c r="N92" t="s">
        <v>57</v>
      </c>
      <c r="O92" t="s">
        <v>50</v>
      </c>
      <c r="P92" t="s">
        <v>53</v>
      </c>
      <c r="Q92" t="s">
        <v>54</v>
      </c>
      <c r="R92" t="s">
        <v>55</v>
      </c>
      <c r="S92" t="s">
        <v>56</v>
      </c>
      <c r="X92" t="s">
        <v>38</v>
      </c>
      <c r="Y92" t="s">
        <v>57</v>
      </c>
      <c r="Z92" t="s">
        <v>50</v>
      </c>
      <c r="AA92" t="s">
        <v>53</v>
      </c>
      <c r="AB92" t="s">
        <v>54</v>
      </c>
      <c r="AC92" t="s">
        <v>55</v>
      </c>
      <c r="AD92" t="s">
        <v>56</v>
      </c>
      <c r="AI92" t="s">
        <v>38</v>
      </c>
      <c r="AJ92" t="s">
        <v>57</v>
      </c>
      <c r="AK92" t="s">
        <v>50</v>
      </c>
      <c r="AL92" t="s">
        <v>53</v>
      </c>
      <c r="AM92" t="s">
        <v>54</v>
      </c>
      <c r="AN92" t="s">
        <v>55</v>
      </c>
      <c r="AO92" t="s">
        <v>56</v>
      </c>
    </row>
    <row r="93" spans="1:41" x14ac:dyDescent="0.25">
      <c r="D93">
        <f>ABS(B93-C93)</f>
        <v>0</v>
      </c>
      <c r="E93">
        <f>SUM(D93:D102)</f>
        <v>0</v>
      </c>
      <c r="F93">
        <f>COUNTA(D93:D102)</f>
        <v>10</v>
      </c>
      <c r="G93">
        <f>E93/F93</f>
        <v>0</v>
      </c>
      <c r="P93">
        <f>ABS(N93-O93)</f>
        <v>0</v>
      </c>
      <c r="Q93">
        <f>SUM(P93:P96)</f>
        <v>0</v>
      </c>
      <c r="R93">
        <f>COUNTA(P93:P96)</f>
        <v>4</v>
      </c>
      <c r="S93">
        <f>Q93/R93</f>
        <v>0</v>
      </c>
      <c r="AA93">
        <f>ABS(Y93-Z93)</f>
        <v>0</v>
      </c>
      <c r="AB93">
        <f>SUM(AA93:AA102)</f>
        <v>0</v>
      </c>
      <c r="AC93">
        <f>COUNTA(AA93:AA102)</f>
        <v>10</v>
      </c>
      <c r="AD93">
        <f>AB93/AC93</f>
        <v>0</v>
      </c>
      <c r="AL93">
        <f>ABS(AJ93-AK93)</f>
        <v>0</v>
      </c>
      <c r="AM93">
        <f>SUM(AL93:AL96)</f>
        <v>0</v>
      </c>
      <c r="AN93">
        <f>COUNTA(AL93:AL96)</f>
        <v>4</v>
      </c>
      <c r="AO93">
        <f>AM93/AN93</f>
        <v>0</v>
      </c>
    </row>
    <row r="94" spans="1:41" x14ac:dyDescent="0.25">
      <c r="D94">
        <f t="shared" ref="D94:D102" si="16">ABS(B94-C94)</f>
        <v>0</v>
      </c>
      <c r="P94">
        <f t="shared" ref="P94:P96" si="17">ABS(N94-O94)</f>
        <v>0</v>
      </c>
      <c r="AA94">
        <f t="shared" ref="AA94:AA102" si="18">ABS(Y94-Z94)</f>
        <v>0</v>
      </c>
      <c r="AL94">
        <f t="shared" ref="AL94:AL96" si="19">ABS(AJ94-AK94)</f>
        <v>0</v>
      </c>
    </row>
    <row r="95" spans="1:41" x14ac:dyDescent="0.25">
      <c r="D95">
        <f t="shared" si="16"/>
        <v>0</v>
      </c>
      <c r="P95">
        <f t="shared" si="17"/>
        <v>0</v>
      </c>
      <c r="AA95">
        <f t="shared" si="18"/>
        <v>0</v>
      </c>
      <c r="AL95">
        <f t="shared" si="19"/>
        <v>0</v>
      </c>
    </row>
    <row r="96" spans="1:41" x14ac:dyDescent="0.25">
      <c r="D96">
        <f t="shared" si="16"/>
        <v>0</v>
      </c>
      <c r="P96">
        <f t="shared" si="17"/>
        <v>0</v>
      </c>
      <c r="AA96">
        <f t="shared" si="18"/>
        <v>0</v>
      </c>
      <c r="AL96">
        <f t="shared" si="19"/>
        <v>0</v>
      </c>
    </row>
    <row r="97" spans="1:41" x14ac:dyDescent="0.25">
      <c r="D97">
        <f t="shared" si="16"/>
        <v>0</v>
      </c>
      <c r="AA97">
        <f t="shared" si="18"/>
        <v>0</v>
      </c>
    </row>
    <row r="98" spans="1:41" x14ac:dyDescent="0.25">
      <c r="D98">
        <f t="shared" si="16"/>
        <v>0</v>
      </c>
      <c r="AA98">
        <f t="shared" si="18"/>
        <v>0</v>
      </c>
    </row>
    <row r="99" spans="1:41" x14ac:dyDescent="0.25">
      <c r="D99">
        <f t="shared" si="16"/>
        <v>0</v>
      </c>
      <c r="AA99">
        <f t="shared" si="18"/>
        <v>0</v>
      </c>
    </row>
    <row r="100" spans="1:41" x14ac:dyDescent="0.25">
      <c r="D100">
        <f t="shared" si="16"/>
        <v>0</v>
      </c>
      <c r="AA100">
        <f t="shared" si="18"/>
        <v>0</v>
      </c>
    </row>
    <row r="101" spans="1:41" x14ac:dyDescent="0.25">
      <c r="D101">
        <f t="shared" si="16"/>
        <v>0</v>
      </c>
      <c r="AA101">
        <f t="shared" si="18"/>
        <v>0</v>
      </c>
    </row>
    <row r="102" spans="1:41" x14ac:dyDescent="0.25">
      <c r="D102">
        <f t="shared" si="16"/>
        <v>0</v>
      </c>
      <c r="AA102">
        <f t="shared" si="18"/>
        <v>0</v>
      </c>
    </row>
    <row r="104" spans="1:41" x14ac:dyDescent="0.25">
      <c r="B104" t="s">
        <v>60</v>
      </c>
      <c r="N104" t="s">
        <v>60</v>
      </c>
    </row>
    <row r="105" spans="1:41" x14ac:dyDescent="0.25">
      <c r="A105" t="s">
        <v>38</v>
      </c>
      <c r="B105" t="s">
        <v>57</v>
      </c>
      <c r="C105" t="s">
        <v>50</v>
      </c>
      <c r="D105" t="s">
        <v>53</v>
      </c>
      <c r="E105" t="s">
        <v>54</v>
      </c>
      <c r="F105" t="s">
        <v>55</v>
      </c>
      <c r="G105" t="s">
        <v>56</v>
      </c>
      <c r="M105" t="s">
        <v>38</v>
      </c>
      <c r="N105" t="s">
        <v>57</v>
      </c>
      <c r="O105" t="s">
        <v>50</v>
      </c>
      <c r="P105" t="s">
        <v>53</v>
      </c>
      <c r="Q105" t="s">
        <v>54</v>
      </c>
      <c r="R105" t="s">
        <v>55</v>
      </c>
      <c r="S105" t="s">
        <v>56</v>
      </c>
      <c r="X105" t="s">
        <v>38</v>
      </c>
      <c r="Y105" t="s">
        <v>57</v>
      </c>
      <c r="Z105" t="s">
        <v>50</v>
      </c>
      <c r="AA105" t="s">
        <v>53</v>
      </c>
      <c r="AB105" t="s">
        <v>54</v>
      </c>
      <c r="AC105" t="s">
        <v>55</v>
      </c>
      <c r="AD105" t="s">
        <v>56</v>
      </c>
      <c r="AI105" t="s">
        <v>38</v>
      </c>
      <c r="AJ105" t="s">
        <v>57</v>
      </c>
      <c r="AK105" t="s">
        <v>50</v>
      </c>
      <c r="AL105" t="s">
        <v>53</v>
      </c>
      <c r="AM105" t="s">
        <v>54</v>
      </c>
      <c r="AN105" t="s">
        <v>55</v>
      </c>
      <c r="AO105" t="s">
        <v>56</v>
      </c>
    </row>
    <row r="106" spans="1:41" x14ac:dyDescent="0.25">
      <c r="D106">
        <f>ABS(B106-C106)</f>
        <v>0</v>
      </c>
      <c r="E106">
        <f>SUM(D106:D114)</f>
        <v>0</v>
      </c>
      <c r="F106">
        <f>COUNTA(D106:D114)</f>
        <v>9</v>
      </c>
      <c r="G106">
        <f>E106/F106</f>
        <v>0</v>
      </c>
      <c r="P106">
        <f>ABS(N106-O106)</f>
        <v>0</v>
      </c>
      <c r="Q106">
        <f>SUM(P106:P110)</f>
        <v>0</v>
      </c>
      <c r="R106">
        <f>COUNTA(P106:P110)</f>
        <v>5</v>
      </c>
      <c r="S106">
        <f>Q106/R106</f>
        <v>0</v>
      </c>
      <c r="AA106">
        <f>ABS(Y106-Z106)</f>
        <v>0</v>
      </c>
      <c r="AB106">
        <f>SUM(AA106:AA114)</f>
        <v>0</v>
      </c>
      <c r="AC106">
        <f>COUNTA(AA106:AA114)</f>
        <v>9</v>
      </c>
      <c r="AD106">
        <f>AB106/AC106</f>
        <v>0</v>
      </c>
      <c r="AL106">
        <f>ABS(AJ106-AK106)</f>
        <v>0</v>
      </c>
      <c r="AM106">
        <f>SUM(AL106:AL110)</f>
        <v>0</v>
      </c>
      <c r="AN106">
        <f>COUNTA(AL106:AL110)</f>
        <v>5</v>
      </c>
      <c r="AO106">
        <f>AM106/AN106</f>
        <v>0</v>
      </c>
    </row>
    <row r="107" spans="1:41" x14ac:dyDescent="0.25">
      <c r="D107">
        <f t="shared" ref="D107:D114" si="20">ABS(B107-C107)</f>
        <v>0</v>
      </c>
      <c r="P107">
        <f t="shared" ref="P107:P110" si="21">ABS(N107-O107)</f>
        <v>0</v>
      </c>
      <c r="AA107">
        <f t="shared" ref="AA107:AA114" si="22">ABS(Y107-Z107)</f>
        <v>0</v>
      </c>
      <c r="AL107">
        <f t="shared" ref="AL107:AL110" si="23">ABS(AJ107-AK107)</f>
        <v>0</v>
      </c>
    </row>
    <row r="108" spans="1:41" x14ac:dyDescent="0.25">
      <c r="D108">
        <f t="shared" si="20"/>
        <v>0</v>
      </c>
      <c r="P108">
        <f t="shared" si="21"/>
        <v>0</v>
      </c>
      <c r="AA108">
        <f t="shared" si="22"/>
        <v>0</v>
      </c>
      <c r="AL108">
        <f t="shared" si="23"/>
        <v>0</v>
      </c>
    </row>
    <row r="109" spans="1:41" x14ac:dyDescent="0.25">
      <c r="D109">
        <f t="shared" si="20"/>
        <v>0</v>
      </c>
      <c r="P109">
        <f t="shared" si="21"/>
        <v>0</v>
      </c>
      <c r="AA109">
        <f t="shared" si="22"/>
        <v>0</v>
      </c>
      <c r="AL109">
        <f t="shared" si="23"/>
        <v>0</v>
      </c>
    </row>
    <row r="110" spans="1:41" x14ac:dyDescent="0.25">
      <c r="D110">
        <f t="shared" si="20"/>
        <v>0</v>
      </c>
      <c r="P110">
        <f t="shared" si="21"/>
        <v>0</v>
      </c>
      <c r="AA110">
        <f t="shared" si="22"/>
        <v>0</v>
      </c>
      <c r="AL110">
        <f t="shared" si="23"/>
        <v>0</v>
      </c>
    </row>
    <row r="111" spans="1:41" x14ac:dyDescent="0.25">
      <c r="D111">
        <f t="shared" si="20"/>
        <v>0</v>
      </c>
      <c r="AA111">
        <f t="shared" si="22"/>
        <v>0</v>
      </c>
    </row>
    <row r="112" spans="1:41" x14ac:dyDescent="0.25">
      <c r="D112">
        <f t="shared" si="20"/>
        <v>0</v>
      </c>
      <c r="AA112">
        <f t="shared" si="22"/>
        <v>0</v>
      </c>
    </row>
    <row r="113" spans="4:27" x14ac:dyDescent="0.25">
      <c r="D113">
        <f t="shared" si="20"/>
        <v>0</v>
      </c>
      <c r="AA113">
        <f t="shared" si="22"/>
        <v>0</v>
      </c>
    </row>
    <row r="114" spans="4:27" x14ac:dyDescent="0.25">
      <c r="D114">
        <f t="shared" si="20"/>
        <v>0</v>
      </c>
      <c r="AA114">
        <f t="shared" si="22"/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E726-6471-449E-A2FE-17F6479D67E9}">
  <dimension ref="A1:AR114"/>
  <sheetViews>
    <sheetView zoomScale="160" zoomScaleNormal="160" workbookViewId="0">
      <selection activeCell="R15" sqref="R15"/>
    </sheetView>
  </sheetViews>
  <sheetFormatPr defaultRowHeight="15" x14ac:dyDescent="0.25"/>
  <cols>
    <col min="3" max="4" width="15.85546875" bestFit="1" customWidth="1"/>
  </cols>
  <sheetData>
    <row r="1" spans="1:23" x14ac:dyDescent="0.25">
      <c r="A1" t="s">
        <v>51</v>
      </c>
      <c r="C1" t="s">
        <v>64</v>
      </c>
    </row>
    <row r="3" spans="1:23" x14ac:dyDescent="0.25">
      <c r="C3" s="2"/>
      <c r="D3" s="2"/>
      <c r="W3" s="1"/>
    </row>
    <row r="4" spans="1:23" x14ac:dyDescent="0.25">
      <c r="C4" s="2"/>
      <c r="D4" s="2"/>
      <c r="W4" s="1"/>
    </row>
    <row r="5" spans="1:23" x14ac:dyDescent="0.25">
      <c r="C5" s="2"/>
      <c r="D5" s="2"/>
      <c r="W5" s="1"/>
    </row>
    <row r="6" spans="1:23" x14ac:dyDescent="0.25">
      <c r="C6" s="2"/>
      <c r="D6" s="2"/>
      <c r="W6" s="1"/>
    </row>
    <row r="7" spans="1:23" x14ac:dyDescent="0.25">
      <c r="C7" s="2"/>
      <c r="D7" s="2"/>
      <c r="W7" s="1"/>
    </row>
    <row r="8" spans="1:23" x14ac:dyDescent="0.25">
      <c r="C8" s="2"/>
      <c r="D8" s="2"/>
      <c r="W8" s="1"/>
    </row>
    <row r="9" spans="1:23" x14ac:dyDescent="0.25">
      <c r="C9" s="2"/>
      <c r="D9" s="2"/>
      <c r="W9" s="1"/>
    </row>
    <row r="10" spans="1:23" x14ac:dyDescent="0.25">
      <c r="C10" s="2"/>
      <c r="D10" s="2"/>
      <c r="W10" s="1"/>
    </row>
    <row r="11" spans="1:23" x14ac:dyDescent="0.25">
      <c r="C11" s="2"/>
      <c r="D11" s="2"/>
      <c r="W11" s="1"/>
    </row>
    <row r="12" spans="1:23" x14ac:dyDescent="0.25">
      <c r="C12" s="2"/>
      <c r="D12" s="2"/>
      <c r="T12" s="1"/>
      <c r="W12" s="1"/>
    </row>
    <row r="13" spans="1:23" x14ac:dyDescent="0.25">
      <c r="C13" t="s">
        <v>65</v>
      </c>
    </row>
    <row r="15" spans="1:23" x14ac:dyDescent="0.25">
      <c r="C15" s="2"/>
      <c r="D15" s="2"/>
      <c r="W15" s="1"/>
    </row>
    <row r="16" spans="1:23" x14ac:dyDescent="0.25">
      <c r="C16" s="2"/>
      <c r="D16" s="2"/>
      <c r="W16" s="1"/>
    </row>
    <row r="17" spans="3:23" x14ac:dyDescent="0.25">
      <c r="C17" s="2"/>
      <c r="D17" s="2"/>
      <c r="W17" s="1"/>
    </row>
    <row r="18" spans="3:23" x14ac:dyDescent="0.25">
      <c r="C18" s="2"/>
      <c r="D18" s="2"/>
      <c r="W18" s="1"/>
    </row>
    <row r="19" spans="3:23" x14ac:dyDescent="0.25">
      <c r="C19" s="2"/>
      <c r="D19" s="2"/>
      <c r="W19" s="1"/>
    </row>
    <row r="20" spans="3:23" x14ac:dyDescent="0.25">
      <c r="C20" s="2"/>
      <c r="D20" s="2"/>
      <c r="W20" s="1"/>
    </row>
    <row r="21" spans="3:23" x14ac:dyDescent="0.25">
      <c r="C21" s="2"/>
      <c r="D21" s="2"/>
      <c r="T21" s="1"/>
      <c r="W21" s="1"/>
    </row>
    <row r="22" spans="3:23" x14ac:dyDescent="0.25">
      <c r="C22" s="2"/>
      <c r="D22" s="2"/>
      <c r="W22" s="1"/>
    </row>
    <row r="23" spans="3:23" x14ac:dyDescent="0.25">
      <c r="C23" s="2"/>
      <c r="D23" s="2"/>
      <c r="W23" s="1"/>
    </row>
    <row r="24" spans="3:23" x14ac:dyDescent="0.25">
      <c r="C24" s="2"/>
      <c r="D24" s="2"/>
      <c r="W24" s="1"/>
    </row>
    <row r="25" spans="3:23" x14ac:dyDescent="0.25">
      <c r="C25" t="s">
        <v>66</v>
      </c>
    </row>
    <row r="27" spans="3:23" x14ac:dyDescent="0.25">
      <c r="C27" s="2"/>
      <c r="D27" s="2"/>
      <c r="W27" s="1"/>
    </row>
    <row r="28" spans="3:23" x14ac:dyDescent="0.25">
      <c r="C28" s="2"/>
      <c r="D28" s="2"/>
      <c r="W28" s="1"/>
    </row>
    <row r="29" spans="3:23" x14ac:dyDescent="0.25">
      <c r="C29" s="2"/>
      <c r="D29" s="2"/>
      <c r="W29" s="1"/>
    </row>
    <row r="30" spans="3:23" x14ac:dyDescent="0.25">
      <c r="C30" s="2"/>
      <c r="D30" s="2"/>
      <c r="W30" s="1"/>
    </row>
    <row r="31" spans="3:23" x14ac:dyDescent="0.25">
      <c r="C31" s="2"/>
      <c r="D31" s="2"/>
      <c r="W31" s="1"/>
    </row>
    <row r="32" spans="3:23" x14ac:dyDescent="0.25">
      <c r="C32" s="2"/>
      <c r="D32" s="2"/>
      <c r="W32" s="1"/>
    </row>
    <row r="33" spans="1:44" x14ac:dyDescent="0.25">
      <c r="C33" s="2"/>
      <c r="D33" s="2"/>
      <c r="W33" s="1"/>
    </row>
    <row r="34" spans="1:44" x14ac:dyDescent="0.25">
      <c r="C34" s="2"/>
      <c r="D34" s="2"/>
      <c r="W34" s="1"/>
    </row>
    <row r="35" spans="1:44" x14ac:dyDescent="0.25">
      <c r="C35" s="2"/>
      <c r="D35" s="2"/>
      <c r="W35" s="1"/>
    </row>
    <row r="37" spans="1:44" x14ac:dyDescent="0.25">
      <c r="B37" t="s">
        <v>49</v>
      </c>
      <c r="N37" t="s">
        <v>49</v>
      </c>
      <c r="O37" t="s">
        <v>62</v>
      </c>
      <c r="Y37" t="s">
        <v>49</v>
      </c>
      <c r="AJ37" t="s">
        <v>49</v>
      </c>
      <c r="AK37" t="s">
        <v>62</v>
      </c>
    </row>
    <row r="38" spans="1:44" x14ac:dyDescent="0.25">
      <c r="B38" t="s">
        <v>58</v>
      </c>
      <c r="N38" t="s">
        <v>58</v>
      </c>
    </row>
    <row r="39" spans="1:44" x14ac:dyDescent="0.25">
      <c r="A39" t="s">
        <v>38</v>
      </c>
      <c r="B39" t="s">
        <v>52</v>
      </c>
      <c r="C39" t="s">
        <v>39</v>
      </c>
      <c r="D39" t="s">
        <v>53</v>
      </c>
      <c r="E39" t="s">
        <v>54</v>
      </c>
      <c r="F39" t="s">
        <v>55</v>
      </c>
      <c r="G39" t="s">
        <v>56</v>
      </c>
      <c r="J39" t="s">
        <v>61</v>
      </c>
      <c r="M39" t="s">
        <v>38</v>
      </c>
      <c r="N39" t="s">
        <v>52</v>
      </c>
      <c r="O39" t="s">
        <v>39</v>
      </c>
      <c r="P39" t="s">
        <v>53</v>
      </c>
      <c r="Q39" t="s">
        <v>54</v>
      </c>
      <c r="R39" t="s">
        <v>55</v>
      </c>
      <c r="S39" t="s">
        <v>56</v>
      </c>
      <c r="V39" t="s">
        <v>61</v>
      </c>
      <c r="X39" t="s">
        <v>38</v>
      </c>
      <c r="Y39" t="s">
        <v>52</v>
      </c>
      <c r="Z39" t="s">
        <v>39</v>
      </c>
      <c r="AA39" t="s">
        <v>53</v>
      </c>
      <c r="AB39" t="s">
        <v>54</v>
      </c>
      <c r="AC39" t="s">
        <v>55</v>
      </c>
      <c r="AD39" t="s">
        <v>56</v>
      </c>
      <c r="AG39" t="s">
        <v>61</v>
      </c>
      <c r="AI39" t="s">
        <v>38</v>
      </c>
      <c r="AJ39" t="s">
        <v>52</v>
      </c>
      <c r="AK39" t="s">
        <v>39</v>
      </c>
      <c r="AL39" t="s">
        <v>53</v>
      </c>
      <c r="AM39" t="s">
        <v>54</v>
      </c>
      <c r="AN39" t="s">
        <v>55</v>
      </c>
      <c r="AO39" t="s">
        <v>56</v>
      </c>
      <c r="AR39" t="s">
        <v>61</v>
      </c>
    </row>
    <row r="40" spans="1:44" x14ac:dyDescent="0.25">
      <c r="D40">
        <f>ABS(B40-C40)</f>
        <v>0</v>
      </c>
      <c r="E40">
        <f>SUM(D40:D49)</f>
        <v>0</v>
      </c>
      <c r="F40">
        <f>COUNTA(D40:D49)</f>
        <v>10</v>
      </c>
      <c r="G40">
        <f>E40/F40</f>
        <v>0</v>
      </c>
      <c r="J40">
        <f>AVERAGE(G40,G53,G66)</f>
        <v>0</v>
      </c>
      <c r="P40">
        <f>ABS(N40-O40)</f>
        <v>0</v>
      </c>
      <c r="Q40">
        <f>SUM(P40:P43)</f>
        <v>0</v>
      </c>
      <c r="R40">
        <f>COUNTA(P40:P43)</f>
        <v>4</v>
      </c>
      <c r="S40">
        <f>Q40/R40</f>
        <v>0</v>
      </c>
      <c r="V40">
        <f>AVERAGE(S40,S53,S66)</f>
        <v>0</v>
      </c>
      <c r="AA40">
        <f>ABS(Y40-Z40)</f>
        <v>0</v>
      </c>
      <c r="AB40">
        <f>SUM(AA40:AA49)</f>
        <v>0</v>
      </c>
      <c r="AC40">
        <f>COUNTA(AA40:AA49)</f>
        <v>10</v>
      </c>
      <c r="AD40">
        <f>AB40/AC40</f>
        <v>0</v>
      </c>
      <c r="AG40">
        <f>AVERAGE(AD40,AD53,AD66)</f>
        <v>0</v>
      </c>
      <c r="AL40">
        <f>ABS(AJ40-AK40)</f>
        <v>0</v>
      </c>
      <c r="AM40">
        <f>SUM(AL40:AL43)</f>
        <v>0</v>
      </c>
      <c r="AN40">
        <f>COUNTA(AL40:AL43)</f>
        <v>4</v>
      </c>
      <c r="AO40">
        <f>AM40/AN40</f>
        <v>0</v>
      </c>
      <c r="AR40">
        <f>AVERAGE(AO40,AO53,AO66)</f>
        <v>0</v>
      </c>
    </row>
    <row r="41" spans="1:44" x14ac:dyDescent="0.25">
      <c r="D41">
        <f t="shared" ref="D41:D49" si="0">ABS(B41-C41)</f>
        <v>0</v>
      </c>
      <c r="P41">
        <f t="shared" ref="P41:P43" si="1">ABS(N41-O41)</f>
        <v>0</v>
      </c>
      <c r="AA41">
        <f t="shared" ref="AA41:AA49" si="2">ABS(Y41-Z41)</f>
        <v>0</v>
      </c>
      <c r="AL41">
        <f t="shared" ref="AL41:AL43" si="3">ABS(AJ41-AK41)</f>
        <v>0</v>
      </c>
    </row>
    <row r="42" spans="1:44" x14ac:dyDescent="0.25">
      <c r="D42">
        <f t="shared" si="0"/>
        <v>0</v>
      </c>
      <c r="P42">
        <f t="shared" si="1"/>
        <v>0</v>
      </c>
      <c r="AA42">
        <f t="shared" si="2"/>
        <v>0</v>
      </c>
      <c r="AL42">
        <f t="shared" si="3"/>
        <v>0</v>
      </c>
    </row>
    <row r="43" spans="1:44" x14ac:dyDescent="0.25">
      <c r="D43">
        <f t="shared" si="0"/>
        <v>0</v>
      </c>
      <c r="P43">
        <f t="shared" si="1"/>
        <v>0</v>
      </c>
      <c r="AA43">
        <f t="shared" si="2"/>
        <v>0</v>
      </c>
      <c r="AL43">
        <f t="shared" si="3"/>
        <v>0</v>
      </c>
    </row>
    <row r="44" spans="1:44" x14ac:dyDescent="0.25">
      <c r="D44">
        <f t="shared" si="0"/>
        <v>0</v>
      </c>
      <c r="AA44">
        <f t="shared" si="2"/>
        <v>0</v>
      </c>
    </row>
    <row r="45" spans="1:44" x14ac:dyDescent="0.25">
      <c r="D45">
        <f t="shared" si="0"/>
        <v>0</v>
      </c>
      <c r="AA45">
        <f t="shared" si="2"/>
        <v>0</v>
      </c>
    </row>
    <row r="46" spans="1:44" x14ac:dyDescent="0.25">
      <c r="D46">
        <f t="shared" si="0"/>
        <v>0</v>
      </c>
      <c r="AA46">
        <f t="shared" si="2"/>
        <v>0</v>
      </c>
    </row>
    <row r="47" spans="1:44" x14ac:dyDescent="0.25">
      <c r="D47">
        <f t="shared" si="0"/>
        <v>0</v>
      </c>
      <c r="AA47">
        <f t="shared" si="2"/>
        <v>0</v>
      </c>
    </row>
    <row r="48" spans="1:44" x14ac:dyDescent="0.25">
      <c r="D48">
        <f t="shared" si="0"/>
        <v>0</v>
      </c>
      <c r="AA48">
        <f t="shared" si="2"/>
        <v>0</v>
      </c>
    </row>
    <row r="49" spans="1:41" x14ac:dyDescent="0.25">
      <c r="D49">
        <f t="shared" si="0"/>
        <v>0</v>
      </c>
      <c r="AA49">
        <f t="shared" si="2"/>
        <v>0</v>
      </c>
    </row>
    <row r="51" spans="1:41" x14ac:dyDescent="0.25">
      <c r="B51" t="s">
        <v>59</v>
      </c>
      <c r="N51" t="s">
        <v>59</v>
      </c>
    </row>
    <row r="52" spans="1:41" x14ac:dyDescent="0.25">
      <c r="A52" t="s">
        <v>38</v>
      </c>
      <c r="B52" t="s">
        <v>52</v>
      </c>
      <c r="C52" t="s">
        <v>39</v>
      </c>
      <c r="D52" t="s">
        <v>53</v>
      </c>
      <c r="E52" t="s">
        <v>54</v>
      </c>
      <c r="F52" t="s">
        <v>55</v>
      </c>
      <c r="G52" t="s">
        <v>56</v>
      </c>
      <c r="M52" t="s">
        <v>38</v>
      </c>
      <c r="N52" t="s">
        <v>52</v>
      </c>
      <c r="O52" t="s">
        <v>39</v>
      </c>
      <c r="P52" t="s">
        <v>53</v>
      </c>
      <c r="Q52" t="s">
        <v>54</v>
      </c>
      <c r="R52" t="s">
        <v>55</v>
      </c>
      <c r="S52" t="s">
        <v>56</v>
      </c>
      <c r="X52" t="s">
        <v>38</v>
      </c>
      <c r="Y52" t="s">
        <v>52</v>
      </c>
      <c r="Z52" t="s">
        <v>39</v>
      </c>
      <c r="AA52" t="s">
        <v>53</v>
      </c>
      <c r="AB52" t="s">
        <v>54</v>
      </c>
      <c r="AC52" t="s">
        <v>55</v>
      </c>
      <c r="AD52" t="s">
        <v>56</v>
      </c>
      <c r="AI52" t="s">
        <v>38</v>
      </c>
      <c r="AJ52" t="s">
        <v>52</v>
      </c>
      <c r="AK52" t="s">
        <v>39</v>
      </c>
      <c r="AL52" t="s">
        <v>53</v>
      </c>
      <c r="AM52" t="s">
        <v>54</v>
      </c>
      <c r="AN52" t="s">
        <v>55</v>
      </c>
      <c r="AO52" t="s">
        <v>56</v>
      </c>
    </row>
    <row r="53" spans="1:41" x14ac:dyDescent="0.25">
      <c r="D53">
        <f>ABS(B53-C53)</f>
        <v>0</v>
      </c>
      <c r="E53">
        <f>SUM(D53:D62)</f>
        <v>0</v>
      </c>
      <c r="F53">
        <f>COUNTA(D53:D62)</f>
        <v>10</v>
      </c>
      <c r="G53">
        <f>E53/F53</f>
        <v>0</v>
      </c>
      <c r="P53">
        <f>ABS(N53-O53)</f>
        <v>0</v>
      </c>
      <c r="Q53">
        <f>SUM(P53:P56)</f>
        <v>0</v>
      </c>
      <c r="R53">
        <f>COUNTA(P53:P56)</f>
        <v>4</v>
      </c>
      <c r="S53">
        <f>Q53/R53</f>
        <v>0</v>
      </c>
      <c r="AA53">
        <f>ABS(Y53-Z53)</f>
        <v>0</v>
      </c>
      <c r="AB53">
        <f>SUM(AA53:AA62)</f>
        <v>0</v>
      </c>
      <c r="AC53">
        <f>COUNTA(AA53:AA62)</f>
        <v>10</v>
      </c>
      <c r="AD53">
        <f>AB53/AC53</f>
        <v>0</v>
      </c>
      <c r="AL53">
        <f>ABS(AJ53-AK53)</f>
        <v>0</v>
      </c>
      <c r="AM53">
        <f>SUM(AL53:AL56)</f>
        <v>0</v>
      </c>
      <c r="AN53">
        <f>COUNTA(AL53:AL56)</f>
        <v>4</v>
      </c>
      <c r="AO53">
        <f>AM53/AN53</f>
        <v>0</v>
      </c>
    </row>
    <row r="54" spans="1:41" x14ac:dyDescent="0.25">
      <c r="D54">
        <f t="shared" ref="D54:D62" si="4">ABS(B54-C54)</f>
        <v>0</v>
      </c>
      <c r="P54">
        <f t="shared" ref="P54:P56" si="5">ABS(N54-O54)</f>
        <v>0</v>
      </c>
      <c r="AA54">
        <f t="shared" ref="AA54:AA62" si="6">ABS(Y54-Z54)</f>
        <v>0</v>
      </c>
      <c r="AL54">
        <f t="shared" ref="AL54:AL56" si="7">ABS(AJ54-AK54)</f>
        <v>0</v>
      </c>
    </row>
    <row r="55" spans="1:41" x14ac:dyDescent="0.25">
      <c r="D55">
        <f t="shared" si="4"/>
        <v>0</v>
      </c>
      <c r="P55">
        <f t="shared" si="5"/>
        <v>0</v>
      </c>
      <c r="AA55">
        <f t="shared" si="6"/>
        <v>0</v>
      </c>
      <c r="AL55">
        <f t="shared" si="7"/>
        <v>0</v>
      </c>
    </row>
    <row r="56" spans="1:41" x14ac:dyDescent="0.25">
      <c r="D56">
        <f t="shared" si="4"/>
        <v>0</v>
      </c>
      <c r="P56">
        <f t="shared" si="5"/>
        <v>0</v>
      </c>
      <c r="AA56">
        <f t="shared" si="6"/>
        <v>0</v>
      </c>
      <c r="AL56">
        <f t="shared" si="7"/>
        <v>0</v>
      </c>
    </row>
    <row r="57" spans="1:41" x14ac:dyDescent="0.25">
      <c r="D57">
        <f t="shared" si="4"/>
        <v>0</v>
      </c>
      <c r="AA57">
        <f t="shared" si="6"/>
        <v>0</v>
      </c>
    </row>
    <row r="58" spans="1:41" x14ac:dyDescent="0.25">
      <c r="D58">
        <f t="shared" si="4"/>
        <v>0</v>
      </c>
      <c r="AA58">
        <f t="shared" si="6"/>
        <v>0</v>
      </c>
    </row>
    <row r="59" spans="1:41" x14ac:dyDescent="0.25">
      <c r="D59">
        <f t="shared" si="4"/>
        <v>0</v>
      </c>
      <c r="AA59">
        <f t="shared" si="6"/>
        <v>0</v>
      </c>
    </row>
    <row r="60" spans="1:41" x14ac:dyDescent="0.25">
      <c r="D60">
        <f t="shared" si="4"/>
        <v>0</v>
      </c>
      <c r="AA60">
        <f t="shared" si="6"/>
        <v>0</v>
      </c>
    </row>
    <row r="61" spans="1:41" x14ac:dyDescent="0.25">
      <c r="D61">
        <f t="shared" si="4"/>
        <v>0</v>
      </c>
      <c r="AA61">
        <f t="shared" si="6"/>
        <v>0</v>
      </c>
    </row>
    <row r="62" spans="1:41" x14ac:dyDescent="0.25">
      <c r="D62">
        <f t="shared" si="4"/>
        <v>0</v>
      </c>
      <c r="AA62">
        <f t="shared" si="6"/>
        <v>0</v>
      </c>
    </row>
    <row r="64" spans="1:41" x14ac:dyDescent="0.25">
      <c r="B64" t="s">
        <v>60</v>
      </c>
      <c r="N64" t="s">
        <v>60</v>
      </c>
    </row>
    <row r="65" spans="1:44" x14ac:dyDescent="0.25">
      <c r="A65" t="s">
        <v>38</v>
      </c>
      <c r="B65" t="s">
        <v>52</v>
      </c>
      <c r="C65" t="s">
        <v>39</v>
      </c>
      <c r="D65" t="s">
        <v>53</v>
      </c>
      <c r="E65" t="s">
        <v>54</v>
      </c>
      <c r="F65" t="s">
        <v>55</v>
      </c>
      <c r="G65" t="s">
        <v>56</v>
      </c>
      <c r="M65" t="s">
        <v>38</v>
      </c>
      <c r="N65" t="s">
        <v>52</v>
      </c>
      <c r="O65" t="s">
        <v>39</v>
      </c>
      <c r="P65" t="s">
        <v>53</v>
      </c>
      <c r="Q65" t="s">
        <v>54</v>
      </c>
      <c r="R65" t="s">
        <v>55</v>
      </c>
      <c r="S65" t="s">
        <v>56</v>
      </c>
      <c r="X65" t="s">
        <v>38</v>
      </c>
      <c r="Y65" t="s">
        <v>52</v>
      </c>
      <c r="Z65" t="s">
        <v>39</v>
      </c>
      <c r="AA65" t="s">
        <v>53</v>
      </c>
      <c r="AB65" t="s">
        <v>54</v>
      </c>
      <c r="AC65" t="s">
        <v>55</v>
      </c>
      <c r="AD65" t="s">
        <v>56</v>
      </c>
      <c r="AI65" t="s">
        <v>38</v>
      </c>
      <c r="AJ65" t="s">
        <v>52</v>
      </c>
      <c r="AK65" t="s">
        <v>39</v>
      </c>
      <c r="AL65" t="s">
        <v>53</v>
      </c>
      <c r="AM65" t="s">
        <v>54</v>
      </c>
      <c r="AN65" t="s">
        <v>55</v>
      </c>
      <c r="AO65" t="s">
        <v>56</v>
      </c>
    </row>
    <row r="66" spans="1:44" x14ac:dyDescent="0.25">
      <c r="D66">
        <f>ABS(B66-C66)</f>
        <v>0</v>
      </c>
      <c r="E66">
        <f>SUM(D66:D74)</f>
        <v>0</v>
      </c>
      <c r="F66">
        <f>COUNTA(D66:D74)</f>
        <v>9</v>
      </c>
      <c r="G66">
        <f>E66/F66</f>
        <v>0</v>
      </c>
      <c r="P66">
        <f>ABS(N66-O66)</f>
        <v>0</v>
      </c>
      <c r="Q66">
        <f>SUM(P66:P70)</f>
        <v>0</v>
      </c>
      <c r="R66">
        <f>COUNTA(P66:P70)</f>
        <v>5</v>
      </c>
      <c r="S66">
        <f>Q66/R66</f>
        <v>0</v>
      </c>
      <c r="AA66">
        <f>ABS(Y66-Z66)</f>
        <v>0</v>
      </c>
      <c r="AB66">
        <f>SUM(AA66:AA74)</f>
        <v>0</v>
      </c>
      <c r="AC66">
        <f>COUNTA(AA66:AA74)</f>
        <v>9</v>
      </c>
      <c r="AD66">
        <f>AB66/AC66</f>
        <v>0</v>
      </c>
      <c r="AL66">
        <f>ABS(AJ66-AK66)</f>
        <v>0</v>
      </c>
      <c r="AM66">
        <f>SUM(AL66:AL70)</f>
        <v>0</v>
      </c>
      <c r="AN66">
        <f>COUNTA(AL66:AL70)</f>
        <v>5</v>
      </c>
      <c r="AO66">
        <f>AM66/AN66</f>
        <v>0</v>
      </c>
    </row>
    <row r="67" spans="1:44" x14ac:dyDescent="0.25">
      <c r="D67">
        <f t="shared" ref="D67:D74" si="8">ABS(B67-C67)</f>
        <v>0</v>
      </c>
      <c r="P67">
        <f t="shared" ref="P67:P70" si="9">ABS(N67-O67)</f>
        <v>0</v>
      </c>
      <c r="AA67">
        <f t="shared" ref="AA67:AA74" si="10">ABS(Y67-Z67)</f>
        <v>0</v>
      </c>
      <c r="AL67">
        <f t="shared" ref="AL67:AL70" si="11">ABS(AJ67-AK67)</f>
        <v>0</v>
      </c>
    </row>
    <row r="68" spans="1:44" x14ac:dyDescent="0.25">
      <c r="D68">
        <f t="shared" si="8"/>
        <v>0</v>
      </c>
      <c r="P68">
        <f t="shared" si="9"/>
        <v>0</v>
      </c>
      <c r="AA68">
        <f t="shared" si="10"/>
        <v>0</v>
      </c>
      <c r="AL68">
        <f t="shared" si="11"/>
        <v>0</v>
      </c>
    </row>
    <row r="69" spans="1:44" x14ac:dyDescent="0.25">
      <c r="D69">
        <f t="shared" si="8"/>
        <v>0</v>
      </c>
      <c r="P69">
        <f t="shared" si="9"/>
        <v>0</v>
      </c>
      <c r="AA69">
        <f t="shared" si="10"/>
        <v>0</v>
      </c>
      <c r="AL69">
        <f t="shared" si="11"/>
        <v>0</v>
      </c>
    </row>
    <row r="70" spans="1:44" x14ac:dyDescent="0.25">
      <c r="D70">
        <f t="shared" si="8"/>
        <v>0</v>
      </c>
      <c r="P70">
        <f t="shared" si="9"/>
        <v>0</v>
      </c>
      <c r="AA70">
        <f t="shared" si="10"/>
        <v>0</v>
      </c>
      <c r="AL70">
        <f t="shared" si="11"/>
        <v>0</v>
      </c>
    </row>
    <row r="71" spans="1:44" x14ac:dyDescent="0.25">
      <c r="D71">
        <f t="shared" si="8"/>
        <v>0</v>
      </c>
      <c r="AA71">
        <f t="shared" si="10"/>
        <v>0</v>
      </c>
    </row>
    <row r="72" spans="1:44" x14ac:dyDescent="0.25">
      <c r="D72">
        <f t="shared" si="8"/>
        <v>0</v>
      </c>
      <c r="AA72">
        <f t="shared" si="10"/>
        <v>0</v>
      </c>
    </row>
    <row r="73" spans="1:44" x14ac:dyDescent="0.25">
      <c r="D73">
        <f t="shared" si="8"/>
        <v>0</v>
      </c>
      <c r="AA73">
        <f t="shared" si="10"/>
        <v>0</v>
      </c>
    </row>
    <row r="74" spans="1:44" x14ac:dyDescent="0.25">
      <c r="D74">
        <f t="shared" si="8"/>
        <v>0</v>
      </c>
      <c r="AA74">
        <f t="shared" si="10"/>
        <v>0</v>
      </c>
    </row>
    <row r="77" spans="1:44" x14ac:dyDescent="0.25">
      <c r="B77" t="s">
        <v>63</v>
      </c>
      <c r="N77" t="s">
        <v>63</v>
      </c>
      <c r="O77" t="s">
        <v>62</v>
      </c>
      <c r="Y77" t="s">
        <v>63</v>
      </c>
      <c r="AJ77" t="s">
        <v>63</v>
      </c>
      <c r="AK77" t="s">
        <v>62</v>
      </c>
    </row>
    <row r="78" spans="1:44" x14ac:dyDescent="0.25">
      <c r="B78" t="s">
        <v>58</v>
      </c>
      <c r="N78" t="s">
        <v>58</v>
      </c>
    </row>
    <row r="79" spans="1:44" x14ac:dyDescent="0.25">
      <c r="A79" t="s">
        <v>38</v>
      </c>
      <c r="B79" t="s">
        <v>57</v>
      </c>
      <c r="C79" t="s">
        <v>50</v>
      </c>
      <c r="D79" t="s">
        <v>53</v>
      </c>
      <c r="E79" t="s">
        <v>54</v>
      </c>
      <c r="F79" t="s">
        <v>55</v>
      </c>
      <c r="G79" t="s">
        <v>56</v>
      </c>
      <c r="J79" t="s">
        <v>61</v>
      </c>
      <c r="M79" t="s">
        <v>38</v>
      </c>
      <c r="N79" t="s">
        <v>57</v>
      </c>
      <c r="O79" t="s">
        <v>50</v>
      </c>
      <c r="P79" t="s">
        <v>53</v>
      </c>
      <c r="Q79" t="s">
        <v>54</v>
      </c>
      <c r="R79" t="s">
        <v>55</v>
      </c>
      <c r="S79" t="s">
        <v>56</v>
      </c>
      <c r="V79" t="s">
        <v>61</v>
      </c>
      <c r="X79" t="s">
        <v>38</v>
      </c>
      <c r="Y79" t="s">
        <v>57</v>
      </c>
      <c r="Z79" t="s">
        <v>50</v>
      </c>
      <c r="AA79" t="s">
        <v>53</v>
      </c>
      <c r="AB79" t="s">
        <v>54</v>
      </c>
      <c r="AC79" t="s">
        <v>55</v>
      </c>
      <c r="AD79" t="s">
        <v>56</v>
      </c>
      <c r="AG79" t="s">
        <v>61</v>
      </c>
      <c r="AI79" t="s">
        <v>38</v>
      </c>
      <c r="AJ79" t="s">
        <v>57</v>
      </c>
      <c r="AK79" t="s">
        <v>50</v>
      </c>
      <c r="AL79" t="s">
        <v>53</v>
      </c>
      <c r="AM79" t="s">
        <v>54</v>
      </c>
      <c r="AN79" t="s">
        <v>55</v>
      </c>
      <c r="AO79" t="s">
        <v>56</v>
      </c>
      <c r="AR79" t="s">
        <v>61</v>
      </c>
    </row>
    <row r="80" spans="1:44" x14ac:dyDescent="0.25">
      <c r="D80">
        <f>ABS(B80-C80)</f>
        <v>0</v>
      </c>
      <c r="E80">
        <f>SUM(D80:D89)</f>
        <v>0</v>
      </c>
      <c r="F80">
        <f>COUNTA(D80:D89)</f>
        <v>10</v>
      </c>
      <c r="G80">
        <f>E80/F80</f>
        <v>0</v>
      </c>
      <c r="J80">
        <f>AVERAGE(G80,G93,G106)</f>
        <v>0</v>
      </c>
      <c r="P80">
        <f>ABS(N80-O80)</f>
        <v>0</v>
      </c>
      <c r="Q80">
        <f>SUM(P80:P83)</f>
        <v>0</v>
      </c>
      <c r="R80">
        <f>COUNTA(P80:P83)</f>
        <v>4</v>
      </c>
      <c r="S80">
        <f>Q80/R80</f>
        <v>0</v>
      </c>
      <c r="V80">
        <f>AVERAGE(S80,S93,S106)</f>
        <v>0</v>
      </c>
      <c r="AA80">
        <f>ABS(Y80-Z80)</f>
        <v>0</v>
      </c>
      <c r="AB80">
        <f>SUM(AA80:AA89)</f>
        <v>0</v>
      </c>
      <c r="AC80">
        <f>COUNTA(AA80:AA89)</f>
        <v>10</v>
      </c>
      <c r="AD80">
        <f>AB80/AC80</f>
        <v>0</v>
      </c>
      <c r="AG80">
        <f>AVERAGE(AD80,AD93,AD106)</f>
        <v>0</v>
      </c>
      <c r="AL80">
        <f>ABS(AJ80-AK80)</f>
        <v>0</v>
      </c>
      <c r="AM80">
        <f>SUM(AL80:AL83)</f>
        <v>0</v>
      </c>
      <c r="AN80">
        <f>COUNTA(AL80:AL83)</f>
        <v>4</v>
      </c>
      <c r="AO80">
        <f>AM80/AN80</f>
        <v>0</v>
      </c>
      <c r="AR80">
        <f>AVERAGE(AO80,AO93,AO106)</f>
        <v>0</v>
      </c>
    </row>
    <row r="81" spans="1:41" x14ac:dyDescent="0.25">
      <c r="D81">
        <f t="shared" ref="D81:D89" si="12">ABS(B81-C81)</f>
        <v>0</v>
      </c>
      <c r="P81">
        <f t="shared" ref="P81:P83" si="13">ABS(N81-O81)</f>
        <v>0</v>
      </c>
      <c r="AA81">
        <f t="shared" ref="AA81:AA89" si="14">ABS(Y81-Z81)</f>
        <v>0</v>
      </c>
      <c r="AL81">
        <f t="shared" ref="AL81:AL83" si="15">ABS(AJ81-AK81)</f>
        <v>0</v>
      </c>
    </row>
    <row r="82" spans="1:41" x14ac:dyDescent="0.25">
      <c r="D82">
        <f t="shared" si="12"/>
        <v>0</v>
      </c>
      <c r="P82">
        <f t="shared" si="13"/>
        <v>0</v>
      </c>
      <c r="AA82">
        <f t="shared" si="14"/>
        <v>0</v>
      </c>
      <c r="AL82">
        <f t="shared" si="15"/>
        <v>0</v>
      </c>
    </row>
    <row r="83" spans="1:41" x14ac:dyDescent="0.25">
      <c r="D83">
        <f t="shared" si="12"/>
        <v>0</v>
      </c>
      <c r="P83">
        <f t="shared" si="13"/>
        <v>0</v>
      </c>
      <c r="AA83">
        <f t="shared" si="14"/>
        <v>0</v>
      </c>
      <c r="AL83">
        <f t="shared" si="15"/>
        <v>0</v>
      </c>
    </row>
    <row r="84" spans="1:41" x14ac:dyDescent="0.25">
      <c r="D84">
        <f t="shared" si="12"/>
        <v>0</v>
      </c>
      <c r="AA84">
        <f t="shared" si="14"/>
        <v>0</v>
      </c>
    </row>
    <row r="85" spans="1:41" x14ac:dyDescent="0.25">
      <c r="D85">
        <f t="shared" si="12"/>
        <v>0</v>
      </c>
      <c r="AA85">
        <f t="shared" si="14"/>
        <v>0</v>
      </c>
    </row>
    <row r="86" spans="1:41" x14ac:dyDescent="0.25">
      <c r="D86">
        <f t="shared" si="12"/>
        <v>0</v>
      </c>
      <c r="AA86">
        <f t="shared" si="14"/>
        <v>0</v>
      </c>
    </row>
    <row r="87" spans="1:41" x14ac:dyDescent="0.25">
      <c r="D87">
        <f t="shared" si="12"/>
        <v>0</v>
      </c>
      <c r="AA87">
        <f t="shared" si="14"/>
        <v>0</v>
      </c>
    </row>
    <row r="88" spans="1:41" x14ac:dyDescent="0.25">
      <c r="D88">
        <f t="shared" si="12"/>
        <v>0</v>
      </c>
      <c r="AA88">
        <f t="shared" si="14"/>
        <v>0</v>
      </c>
    </row>
    <row r="89" spans="1:41" x14ac:dyDescent="0.25">
      <c r="D89">
        <f t="shared" si="12"/>
        <v>0</v>
      </c>
      <c r="AA89">
        <f t="shared" si="14"/>
        <v>0</v>
      </c>
    </row>
    <row r="91" spans="1:41" x14ac:dyDescent="0.25">
      <c r="B91" t="s">
        <v>59</v>
      </c>
      <c r="N91" t="s">
        <v>59</v>
      </c>
    </row>
    <row r="92" spans="1:41" x14ac:dyDescent="0.25">
      <c r="A92" t="s">
        <v>38</v>
      </c>
      <c r="B92" t="s">
        <v>57</v>
      </c>
      <c r="C92" t="s">
        <v>50</v>
      </c>
      <c r="D92" t="s">
        <v>53</v>
      </c>
      <c r="E92" t="s">
        <v>54</v>
      </c>
      <c r="F92" t="s">
        <v>55</v>
      </c>
      <c r="G92" t="s">
        <v>56</v>
      </c>
      <c r="M92" t="s">
        <v>38</v>
      </c>
      <c r="N92" t="s">
        <v>57</v>
      </c>
      <c r="O92" t="s">
        <v>50</v>
      </c>
      <c r="P92" t="s">
        <v>53</v>
      </c>
      <c r="Q92" t="s">
        <v>54</v>
      </c>
      <c r="R92" t="s">
        <v>55</v>
      </c>
      <c r="S92" t="s">
        <v>56</v>
      </c>
      <c r="X92" t="s">
        <v>38</v>
      </c>
      <c r="Y92" t="s">
        <v>57</v>
      </c>
      <c r="Z92" t="s">
        <v>50</v>
      </c>
      <c r="AA92" t="s">
        <v>53</v>
      </c>
      <c r="AB92" t="s">
        <v>54</v>
      </c>
      <c r="AC92" t="s">
        <v>55</v>
      </c>
      <c r="AD92" t="s">
        <v>56</v>
      </c>
      <c r="AI92" t="s">
        <v>38</v>
      </c>
      <c r="AJ92" t="s">
        <v>57</v>
      </c>
      <c r="AK92" t="s">
        <v>50</v>
      </c>
      <c r="AL92" t="s">
        <v>53</v>
      </c>
      <c r="AM92" t="s">
        <v>54</v>
      </c>
      <c r="AN92" t="s">
        <v>55</v>
      </c>
      <c r="AO92" t="s">
        <v>56</v>
      </c>
    </row>
    <row r="93" spans="1:41" x14ac:dyDescent="0.25">
      <c r="D93">
        <f>ABS(B93-C93)</f>
        <v>0</v>
      </c>
      <c r="E93">
        <f>SUM(D93:D102)</f>
        <v>0</v>
      </c>
      <c r="F93">
        <f>COUNTA(D93:D102)</f>
        <v>10</v>
      </c>
      <c r="G93">
        <f>E93/F93</f>
        <v>0</v>
      </c>
      <c r="P93">
        <f>ABS(N93-O93)</f>
        <v>0</v>
      </c>
      <c r="Q93">
        <f>SUM(P93:P96)</f>
        <v>0</v>
      </c>
      <c r="R93">
        <f>COUNTA(P93:P96)</f>
        <v>4</v>
      </c>
      <c r="S93">
        <f>Q93/R93</f>
        <v>0</v>
      </c>
      <c r="AA93">
        <f>ABS(Y93-Z93)</f>
        <v>0</v>
      </c>
      <c r="AB93">
        <f>SUM(AA93:AA102)</f>
        <v>0</v>
      </c>
      <c r="AC93">
        <f>COUNTA(AA93:AA102)</f>
        <v>10</v>
      </c>
      <c r="AD93">
        <f>AB93/AC93</f>
        <v>0</v>
      </c>
      <c r="AL93">
        <f>ABS(AJ93-AK93)</f>
        <v>0</v>
      </c>
      <c r="AM93">
        <f>SUM(AL93:AL96)</f>
        <v>0</v>
      </c>
      <c r="AN93">
        <f>COUNTA(AL93:AL96)</f>
        <v>4</v>
      </c>
      <c r="AO93">
        <f>AM93/AN93</f>
        <v>0</v>
      </c>
    </row>
    <row r="94" spans="1:41" x14ac:dyDescent="0.25">
      <c r="D94">
        <f t="shared" ref="D94:D102" si="16">ABS(B94-C94)</f>
        <v>0</v>
      </c>
      <c r="P94">
        <f t="shared" ref="P94:P96" si="17">ABS(N94-O94)</f>
        <v>0</v>
      </c>
      <c r="AA94">
        <f t="shared" ref="AA94:AA102" si="18">ABS(Y94-Z94)</f>
        <v>0</v>
      </c>
      <c r="AL94">
        <f t="shared" ref="AL94:AL96" si="19">ABS(AJ94-AK94)</f>
        <v>0</v>
      </c>
    </row>
    <row r="95" spans="1:41" x14ac:dyDescent="0.25">
      <c r="D95">
        <f t="shared" si="16"/>
        <v>0</v>
      </c>
      <c r="P95">
        <f t="shared" si="17"/>
        <v>0</v>
      </c>
      <c r="AA95">
        <f t="shared" si="18"/>
        <v>0</v>
      </c>
      <c r="AL95">
        <f t="shared" si="19"/>
        <v>0</v>
      </c>
    </row>
    <row r="96" spans="1:41" x14ac:dyDescent="0.25">
      <c r="D96">
        <f t="shared" si="16"/>
        <v>0</v>
      </c>
      <c r="P96">
        <f t="shared" si="17"/>
        <v>0</v>
      </c>
      <c r="AA96">
        <f t="shared" si="18"/>
        <v>0</v>
      </c>
      <c r="AL96">
        <f t="shared" si="19"/>
        <v>0</v>
      </c>
    </row>
    <row r="97" spans="1:41" x14ac:dyDescent="0.25">
      <c r="D97">
        <f t="shared" si="16"/>
        <v>0</v>
      </c>
      <c r="AA97">
        <f t="shared" si="18"/>
        <v>0</v>
      </c>
    </row>
    <row r="98" spans="1:41" x14ac:dyDescent="0.25">
      <c r="D98">
        <f t="shared" si="16"/>
        <v>0</v>
      </c>
      <c r="AA98">
        <f t="shared" si="18"/>
        <v>0</v>
      </c>
    </row>
    <row r="99" spans="1:41" x14ac:dyDescent="0.25">
      <c r="D99">
        <f t="shared" si="16"/>
        <v>0</v>
      </c>
      <c r="AA99">
        <f t="shared" si="18"/>
        <v>0</v>
      </c>
    </row>
    <row r="100" spans="1:41" x14ac:dyDescent="0.25">
      <c r="D100">
        <f t="shared" si="16"/>
        <v>0</v>
      </c>
      <c r="AA100">
        <f t="shared" si="18"/>
        <v>0</v>
      </c>
    </row>
    <row r="101" spans="1:41" x14ac:dyDescent="0.25">
      <c r="D101">
        <f t="shared" si="16"/>
        <v>0</v>
      </c>
      <c r="AA101">
        <f t="shared" si="18"/>
        <v>0</v>
      </c>
    </row>
    <row r="102" spans="1:41" x14ac:dyDescent="0.25">
      <c r="D102">
        <f t="shared" si="16"/>
        <v>0</v>
      </c>
      <c r="AA102">
        <f t="shared" si="18"/>
        <v>0</v>
      </c>
    </row>
    <row r="104" spans="1:41" x14ac:dyDescent="0.25">
      <c r="B104" t="s">
        <v>60</v>
      </c>
      <c r="N104" t="s">
        <v>60</v>
      </c>
    </row>
    <row r="105" spans="1:41" x14ac:dyDescent="0.25">
      <c r="A105" t="s">
        <v>38</v>
      </c>
      <c r="B105" t="s">
        <v>57</v>
      </c>
      <c r="C105" t="s">
        <v>50</v>
      </c>
      <c r="D105" t="s">
        <v>53</v>
      </c>
      <c r="E105" t="s">
        <v>54</v>
      </c>
      <c r="F105" t="s">
        <v>55</v>
      </c>
      <c r="G105" t="s">
        <v>56</v>
      </c>
      <c r="M105" t="s">
        <v>38</v>
      </c>
      <c r="N105" t="s">
        <v>57</v>
      </c>
      <c r="O105" t="s">
        <v>50</v>
      </c>
      <c r="P105" t="s">
        <v>53</v>
      </c>
      <c r="Q105" t="s">
        <v>54</v>
      </c>
      <c r="R105" t="s">
        <v>55</v>
      </c>
      <c r="S105" t="s">
        <v>56</v>
      </c>
      <c r="X105" t="s">
        <v>38</v>
      </c>
      <c r="Y105" t="s">
        <v>57</v>
      </c>
      <c r="Z105" t="s">
        <v>50</v>
      </c>
      <c r="AA105" t="s">
        <v>53</v>
      </c>
      <c r="AB105" t="s">
        <v>54</v>
      </c>
      <c r="AC105" t="s">
        <v>55</v>
      </c>
      <c r="AD105" t="s">
        <v>56</v>
      </c>
      <c r="AI105" t="s">
        <v>38</v>
      </c>
      <c r="AJ105" t="s">
        <v>57</v>
      </c>
      <c r="AK105" t="s">
        <v>50</v>
      </c>
      <c r="AL105" t="s">
        <v>53</v>
      </c>
      <c r="AM105" t="s">
        <v>54</v>
      </c>
      <c r="AN105" t="s">
        <v>55</v>
      </c>
      <c r="AO105" t="s">
        <v>56</v>
      </c>
    </row>
    <row r="106" spans="1:41" x14ac:dyDescent="0.25">
      <c r="D106">
        <f>ABS(B106-C106)</f>
        <v>0</v>
      </c>
      <c r="E106">
        <f>SUM(D106:D114)</f>
        <v>0</v>
      </c>
      <c r="F106">
        <f>COUNTA(D106:D114)</f>
        <v>9</v>
      </c>
      <c r="G106">
        <f>E106/F106</f>
        <v>0</v>
      </c>
      <c r="P106">
        <f>ABS(N106-O106)</f>
        <v>0</v>
      </c>
      <c r="Q106">
        <f>SUM(P106:P110)</f>
        <v>0</v>
      </c>
      <c r="R106">
        <f>COUNTA(P106:P110)</f>
        <v>5</v>
      </c>
      <c r="S106">
        <f>Q106/R106</f>
        <v>0</v>
      </c>
      <c r="AA106">
        <f>ABS(Y106-Z106)</f>
        <v>0</v>
      </c>
      <c r="AB106">
        <f>SUM(AA106:AA114)</f>
        <v>0</v>
      </c>
      <c r="AC106">
        <f>COUNTA(AA106:AA114)</f>
        <v>9</v>
      </c>
      <c r="AD106">
        <f>AB106/AC106</f>
        <v>0</v>
      </c>
      <c r="AL106">
        <f>ABS(AJ106-AK106)</f>
        <v>0</v>
      </c>
      <c r="AM106">
        <f>SUM(AL106:AL110)</f>
        <v>0</v>
      </c>
      <c r="AN106">
        <f>COUNTA(AL106:AL110)</f>
        <v>5</v>
      </c>
      <c r="AO106">
        <f>AM106/AN106</f>
        <v>0</v>
      </c>
    </row>
    <row r="107" spans="1:41" x14ac:dyDescent="0.25">
      <c r="D107">
        <f t="shared" ref="D107:D114" si="20">ABS(B107-C107)</f>
        <v>0</v>
      </c>
      <c r="P107">
        <f t="shared" ref="P107:P110" si="21">ABS(N107-O107)</f>
        <v>0</v>
      </c>
      <c r="AA107">
        <f t="shared" ref="AA107:AA114" si="22">ABS(Y107-Z107)</f>
        <v>0</v>
      </c>
      <c r="AL107">
        <f t="shared" ref="AL107:AL110" si="23">ABS(AJ107-AK107)</f>
        <v>0</v>
      </c>
    </row>
    <row r="108" spans="1:41" x14ac:dyDescent="0.25">
      <c r="D108">
        <f t="shared" si="20"/>
        <v>0</v>
      </c>
      <c r="P108">
        <f t="shared" si="21"/>
        <v>0</v>
      </c>
      <c r="AA108">
        <f t="shared" si="22"/>
        <v>0</v>
      </c>
      <c r="AL108">
        <f t="shared" si="23"/>
        <v>0</v>
      </c>
    </row>
    <row r="109" spans="1:41" x14ac:dyDescent="0.25">
      <c r="D109">
        <f t="shared" si="20"/>
        <v>0</v>
      </c>
      <c r="P109">
        <f t="shared" si="21"/>
        <v>0</v>
      </c>
      <c r="AA109">
        <f t="shared" si="22"/>
        <v>0</v>
      </c>
      <c r="AL109">
        <f t="shared" si="23"/>
        <v>0</v>
      </c>
    </row>
    <row r="110" spans="1:41" x14ac:dyDescent="0.25">
      <c r="D110">
        <f t="shared" si="20"/>
        <v>0</v>
      </c>
      <c r="P110">
        <f t="shared" si="21"/>
        <v>0</v>
      </c>
      <c r="AA110">
        <f t="shared" si="22"/>
        <v>0</v>
      </c>
      <c r="AL110">
        <f t="shared" si="23"/>
        <v>0</v>
      </c>
    </row>
    <row r="111" spans="1:41" x14ac:dyDescent="0.25">
      <c r="D111">
        <f t="shared" si="20"/>
        <v>0</v>
      </c>
      <c r="AA111">
        <f t="shared" si="22"/>
        <v>0</v>
      </c>
    </row>
    <row r="112" spans="1:41" x14ac:dyDescent="0.25">
      <c r="D112">
        <f t="shared" si="20"/>
        <v>0</v>
      </c>
      <c r="AA112">
        <f t="shared" si="22"/>
        <v>0</v>
      </c>
    </row>
    <row r="113" spans="4:27" x14ac:dyDescent="0.25">
      <c r="D113">
        <f t="shared" si="20"/>
        <v>0</v>
      </c>
      <c r="AA113">
        <f t="shared" si="22"/>
        <v>0</v>
      </c>
    </row>
    <row r="114" spans="4:27" x14ac:dyDescent="0.25">
      <c r="D114">
        <f t="shared" si="20"/>
        <v>0</v>
      </c>
      <c r="AA114">
        <f t="shared" si="22"/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best_median_reg</vt:lpstr>
      <vt:lpstr>best_median_rRT</vt:lpstr>
      <vt:lpstr>autoencoder</vt:lpstr>
      <vt:lpstr>richardson_3fold_4fold</vt:lpstr>
      <vt:lpstr>richardson_3fold_4fold_sigma</vt:lpstr>
      <vt:lpstr>richardson_3fold_4fold_wv_sigma</vt:lpstr>
      <vt:lpstr>richardson_3fold_4fold_all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Griessler</cp:lastModifiedBy>
  <dcterms:created xsi:type="dcterms:W3CDTF">2022-11-10T01:35:23Z</dcterms:created>
  <dcterms:modified xsi:type="dcterms:W3CDTF">2023-06-28T22:26:10Z</dcterms:modified>
</cp:coreProperties>
</file>