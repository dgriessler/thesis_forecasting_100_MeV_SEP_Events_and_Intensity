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classifier\"/>
    </mc:Choice>
  </mc:AlternateContent>
  <xr:revisionPtr revIDLastSave="0" documentId="13_ncr:1_{C8A1420E-6596-4594-8BDF-30B583D02C77}" xr6:coauthVersionLast="47" xr6:coauthVersionMax="47" xr10:uidLastSave="{00000000-0000-0000-0000-000000000000}"/>
  <bookViews>
    <workbookView xWindow="-105" yWindow="0" windowWidth="38175" windowHeight="20985" xr2:uid="{00000000-000D-0000-FFFF-FFFF00000000}"/>
  </bookViews>
  <sheets>
    <sheet name="Details" sheetId="2" r:id="rId1"/>
    <sheet name="Sheet1" sheetId="8" r:id="rId2"/>
    <sheet name="median_F1" sheetId="7" r:id="rId3"/>
    <sheet name="median_other_group" sheetId="6" r:id="rId4"/>
    <sheet name="autoencod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N3" i="2"/>
  <c r="M3" i="2"/>
  <c r="D235" i="2"/>
  <c r="E235" i="2"/>
  <c r="F235" i="2"/>
  <c r="G235" i="2"/>
  <c r="H235" i="2"/>
  <c r="I235" i="2"/>
  <c r="J235" i="2"/>
  <c r="K235" i="2"/>
  <c r="D236" i="2"/>
  <c r="E236" i="2"/>
  <c r="F236" i="2"/>
  <c r="G236" i="2"/>
  <c r="H236" i="2"/>
  <c r="I236" i="2"/>
  <c r="J236" i="2"/>
  <c r="K236" i="2"/>
  <c r="D237" i="2"/>
  <c r="E237" i="2"/>
  <c r="F237" i="2"/>
  <c r="G237" i="2"/>
  <c r="H237" i="2"/>
  <c r="I237" i="2"/>
  <c r="J237" i="2"/>
  <c r="K237" i="2"/>
  <c r="D238" i="2"/>
  <c r="E238" i="2"/>
  <c r="F238" i="2"/>
  <c r="G238" i="2"/>
  <c r="H238" i="2"/>
  <c r="I238" i="2"/>
  <c r="J238" i="2"/>
  <c r="K238" i="2"/>
  <c r="D239" i="2"/>
  <c r="E239" i="2"/>
  <c r="F239" i="2"/>
  <c r="G239" i="2"/>
  <c r="H239" i="2"/>
  <c r="I239" i="2"/>
  <c r="J239" i="2"/>
  <c r="K239" i="2"/>
  <c r="D240" i="2"/>
  <c r="E240" i="2"/>
  <c r="F240" i="2"/>
  <c r="G240" i="2"/>
  <c r="H240" i="2"/>
  <c r="I240" i="2"/>
  <c r="J240" i="2"/>
  <c r="K240" i="2"/>
  <c r="D241" i="2"/>
  <c r="E241" i="2"/>
  <c r="F241" i="2"/>
  <c r="G241" i="2"/>
  <c r="H241" i="2"/>
  <c r="I241" i="2"/>
  <c r="J241" i="2"/>
  <c r="K241" i="2"/>
  <c r="D242" i="2"/>
  <c r="E242" i="2"/>
  <c r="F242" i="2"/>
  <c r="G242" i="2"/>
  <c r="H242" i="2"/>
  <c r="I242" i="2"/>
  <c r="J242" i="2"/>
  <c r="K242" i="2"/>
  <c r="K234" i="2"/>
  <c r="J234" i="2"/>
  <c r="I234" i="2"/>
  <c r="H234" i="2"/>
  <c r="G234" i="2"/>
  <c r="F234" i="2"/>
  <c r="E234" i="2"/>
  <c r="D234" i="2"/>
  <c r="D222" i="2"/>
  <c r="E222" i="2"/>
  <c r="F222" i="2"/>
  <c r="G222" i="2"/>
  <c r="H222" i="2"/>
  <c r="I222" i="2"/>
  <c r="J222" i="2"/>
  <c r="K222" i="2"/>
  <c r="D223" i="2"/>
  <c r="E223" i="2"/>
  <c r="F223" i="2"/>
  <c r="G223" i="2"/>
  <c r="H223" i="2"/>
  <c r="I223" i="2"/>
  <c r="J223" i="2"/>
  <c r="K223" i="2"/>
  <c r="D224" i="2"/>
  <c r="E224" i="2"/>
  <c r="F224" i="2"/>
  <c r="G224" i="2"/>
  <c r="H224" i="2"/>
  <c r="I224" i="2"/>
  <c r="J224" i="2"/>
  <c r="K224" i="2"/>
  <c r="D225" i="2"/>
  <c r="E225" i="2"/>
  <c r="F225" i="2"/>
  <c r="G225" i="2"/>
  <c r="H225" i="2"/>
  <c r="I225" i="2"/>
  <c r="J225" i="2"/>
  <c r="K225" i="2"/>
  <c r="D226" i="2"/>
  <c r="E226" i="2"/>
  <c r="F226" i="2"/>
  <c r="G226" i="2"/>
  <c r="H226" i="2"/>
  <c r="I226" i="2"/>
  <c r="J226" i="2"/>
  <c r="K226" i="2"/>
  <c r="D227" i="2"/>
  <c r="E227" i="2"/>
  <c r="F227" i="2"/>
  <c r="G227" i="2"/>
  <c r="H227" i="2"/>
  <c r="I227" i="2"/>
  <c r="J227" i="2"/>
  <c r="K227" i="2"/>
  <c r="D228" i="2"/>
  <c r="E228" i="2"/>
  <c r="F228" i="2"/>
  <c r="G228" i="2"/>
  <c r="H228" i="2"/>
  <c r="I228" i="2"/>
  <c r="J228" i="2"/>
  <c r="K228" i="2"/>
  <c r="D229" i="2"/>
  <c r="E229" i="2"/>
  <c r="F229" i="2"/>
  <c r="G229" i="2"/>
  <c r="H229" i="2"/>
  <c r="I229" i="2"/>
  <c r="J229" i="2"/>
  <c r="K229" i="2"/>
  <c r="K221" i="2"/>
  <c r="J221" i="2"/>
  <c r="I221" i="2"/>
  <c r="H221" i="2"/>
  <c r="G221" i="2"/>
  <c r="F221" i="2"/>
  <c r="E221" i="2"/>
  <c r="D221" i="2"/>
  <c r="D209" i="2"/>
  <c r="E209" i="2"/>
  <c r="F209" i="2"/>
  <c r="G209" i="2"/>
  <c r="H209" i="2"/>
  <c r="I209" i="2"/>
  <c r="J209" i="2"/>
  <c r="K209" i="2"/>
  <c r="D210" i="2"/>
  <c r="E210" i="2"/>
  <c r="F210" i="2"/>
  <c r="G210" i="2"/>
  <c r="H210" i="2"/>
  <c r="I210" i="2"/>
  <c r="J210" i="2"/>
  <c r="K210" i="2"/>
  <c r="D211" i="2"/>
  <c r="E211" i="2"/>
  <c r="F211" i="2"/>
  <c r="G211" i="2"/>
  <c r="H211" i="2"/>
  <c r="I211" i="2"/>
  <c r="J211" i="2"/>
  <c r="K211" i="2"/>
  <c r="D212" i="2"/>
  <c r="E212" i="2"/>
  <c r="F212" i="2"/>
  <c r="G212" i="2"/>
  <c r="H212" i="2"/>
  <c r="I212" i="2"/>
  <c r="J212" i="2"/>
  <c r="K212" i="2"/>
  <c r="D213" i="2"/>
  <c r="E213" i="2"/>
  <c r="F213" i="2"/>
  <c r="G213" i="2"/>
  <c r="H213" i="2"/>
  <c r="I213" i="2"/>
  <c r="J213" i="2"/>
  <c r="K213" i="2"/>
  <c r="D214" i="2"/>
  <c r="E214" i="2"/>
  <c r="F214" i="2"/>
  <c r="G214" i="2"/>
  <c r="H214" i="2"/>
  <c r="I214" i="2"/>
  <c r="J214" i="2"/>
  <c r="K214" i="2"/>
  <c r="D215" i="2"/>
  <c r="E215" i="2"/>
  <c r="F215" i="2"/>
  <c r="G215" i="2"/>
  <c r="H215" i="2"/>
  <c r="I215" i="2"/>
  <c r="J215" i="2"/>
  <c r="K215" i="2"/>
  <c r="D216" i="2"/>
  <c r="E216" i="2"/>
  <c r="F216" i="2"/>
  <c r="G216" i="2"/>
  <c r="H216" i="2"/>
  <c r="I216" i="2"/>
  <c r="J216" i="2"/>
  <c r="K216" i="2"/>
  <c r="K208" i="2"/>
  <c r="J208" i="2"/>
  <c r="I208" i="2"/>
  <c r="H208" i="2"/>
  <c r="G208" i="2"/>
  <c r="F208" i="2"/>
  <c r="E208" i="2"/>
  <c r="D208" i="2"/>
  <c r="D196" i="2"/>
  <c r="E196" i="2"/>
  <c r="F196" i="2"/>
  <c r="G196" i="2"/>
  <c r="H196" i="2"/>
  <c r="I196" i="2"/>
  <c r="J196" i="2"/>
  <c r="K196" i="2"/>
  <c r="D197" i="2"/>
  <c r="E197" i="2"/>
  <c r="F197" i="2"/>
  <c r="G197" i="2"/>
  <c r="H197" i="2"/>
  <c r="I197" i="2"/>
  <c r="J197" i="2"/>
  <c r="K197" i="2"/>
  <c r="D198" i="2"/>
  <c r="E198" i="2"/>
  <c r="F198" i="2"/>
  <c r="G198" i="2"/>
  <c r="H198" i="2"/>
  <c r="I198" i="2"/>
  <c r="J198" i="2"/>
  <c r="K198" i="2"/>
  <c r="D199" i="2"/>
  <c r="E199" i="2"/>
  <c r="F199" i="2"/>
  <c r="G199" i="2"/>
  <c r="H199" i="2"/>
  <c r="I199" i="2"/>
  <c r="J199" i="2"/>
  <c r="K199" i="2"/>
  <c r="D200" i="2"/>
  <c r="E200" i="2"/>
  <c r="F200" i="2"/>
  <c r="G200" i="2"/>
  <c r="H200" i="2"/>
  <c r="I200" i="2"/>
  <c r="J200" i="2"/>
  <c r="K200" i="2"/>
  <c r="D201" i="2"/>
  <c r="E201" i="2"/>
  <c r="F201" i="2"/>
  <c r="G201" i="2"/>
  <c r="H201" i="2"/>
  <c r="I201" i="2"/>
  <c r="J201" i="2"/>
  <c r="K201" i="2"/>
  <c r="D202" i="2"/>
  <c r="E202" i="2"/>
  <c r="F202" i="2"/>
  <c r="G202" i="2"/>
  <c r="H202" i="2"/>
  <c r="I202" i="2"/>
  <c r="J202" i="2"/>
  <c r="K202" i="2"/>
  <c r="D203" i="2"/>
  <c r="E203" i="2"/>
  <c r="F203" i="2"/>
  <c r="G203" i="2"/>
  <c r="H203" i="2"/>
  <c r="I203" i="2"/>
  <c r="J203" i="2"/>
  <c r="K203" i="2"/>
  <c r="K195" i="2"/>
  <c r="J195" i="2"/>
  <c r="I195" i="2"/>
  <c r="H195" i="2"/>
  <c r="G195" i="2"/>
  <c r="F195" i="2"/>
  <c r="E195" i="2"/>
  <c r="D195" i="2"/>
  <c r="D183" i="2"/>
  <c r="E183" i="2"/>
  <c r="F183" i="2"/>
  <c r="G183" i="2"/>
  <c r="H183" i="2"/>
  <c r="I183" i="2"/>
  <c r="J183" i="2"/>
  <c r="K183" i="2"/>
  <c r="D184" i="2"/>
  <c r="E184" i="2"/>
  <c r="F184" i="2"/>
  <c r="G184" i="2"/>
  <c r="H184" i="2"/>
  <c r="I184" i="2"/>
  <c r="J184" i="2"/>
  <c r="K184" i="2"/>
  <c r="D185" i="2"/>
  <c r="E185" i="2"/>
  <c r="F185" i="2"/>
  <c r="G185" i="2"/>
  <c r="H185" i="2"/>
  <c r="I185" i="2"/>
  <c r="J185" i="2"/>
  <c r="K185" i="2"/>
  <c r="D186" i="2"/>
  <c r="E186" i="2"/>
  <c r="F186" i="2"/>
  <c r="G186" i="2"/>
  <c r="H186" i="2"/>
  <c r="I186" i="2"/>
  <c r="J186" i="2"/>
  <c r="K186" i="2"/>
  <c r="D187" i="2"/>
  <c r="E187" i="2"/>
  <c r="F187" i="2"/>
  <c r="G187" i="2"/>
  <c r="H187" i="2"/>
  <c r="I187" i="2"/>
  <c r="J187" i="2"/>
  <c r="K187" i="2"/>
  <c r="D188" i="2"/>
  <c r="E188" i="2"/>
  <c r="F188" i="2"/>
  <c r="G188" i="2"/>
  <c r="H188" i="2"/>
  <c r="I188" i="2"/>
  <c r="J188" i="2"/>
  <c r="K188" i="2"/>
  <c r="D189" i="2"/>
  <c r="E189" i="2"/>
  <c r="F189" i="2"/>
  <c r="G189" i="2"/>
  <c r="H189" i="2"/>
  <c r="I189" i="2"/>
  <c r="J189" i="2"/>
  <c r="K189" i="2"/>
  <c r="D190" i="2"/>
  <c r="E190" i="2"/>
  <c r="F190" i="2"/>
  <c r="G190" i="2"/>
  <c r="H190" i="2"/>
  <c r="I190" i="2"/>
  <c r="J190" i="2"/>
  <c r="K190" i="2"/>
  <c r="K182" i="2"/>
  <c r="J182" i="2"/>
  <c r="I182" i="2"/>
  <c r="H182" i="2"/>
  <c r="G182" i="2"/>
  <c r="F182" i="2"/>
  <c r="E182" i="2"/>
  <c r="D182" i="2"/>
  <c r="D170" i="2"/>
  <c r="E170" i="2"/>
  <c r="F170" i="2"/>
  <c r="G170" i="2"/>
  <c r="H170" i="2"/>
  <c r="I170" i="2"/>
  <c r="J170" i="2"/>
  <c r="K170" i="2"/>
  <c r="D171" i="2"/>
  <c r="E171" i="2"/>
  <c r="F171" i="2"/>
  <c r="G171" i="2"/>
  <c r="H171" i="2"/>
  <c r="I171" i="2"/>
  <c r="J171" i="2"/>
  <c r="K171" i="2"/>
  <c r="D172" i="2"/>
  <c r="E172" i="2"/>
  <c r="F172" i="2"/>
  <c r="G172" i="2"/>
  <c r="H172" i="2"/>
  <c r="I172" i="2"/>
  <c r="J172" i="2"/>
  <c r="K172" i="2"/>
  <c r="D173" i="2"/>
  <c r="E173" i="2"/>
  <c r="F173" i="2"/>
  <c r="G173" i="2"/>
  <c r="H173" i="2"/>
  <c r="I173" i="2"/>
  <c r="J173" i="2"/>
  <c r="K173" i="2"/>
  <c r="D174" i="2"/>
  <c r="E174" i="2"/>
  <c r="F174" i="2"/>
  <c r="G174" i="2"/>
  <c r="H174" i="2"/>
  <c r="I174" i="2"/>
  <c r="J174" i="2"/>
  <c r="K174" i="2"/>
  <c r="D175" i="2"/>
  <c r="E175" i="2"/>
  <c r="F175" i="2"/>
  <c r="G175" i="2"/>
  <c r="H175" i="2"/>
  <c r="I175" i="2"/>
  <c r="J175" i="2"/>
  <c r="K175" i="2"/>
  <c r="D176" i="2"/>
  <c r="E176" i="2"/>
  <c r="F176" i="2"/>
  <c r="G176" i="2"/>
  <c r="H176" i="2"/>
  <c r="I176" i="2"/>
  <c r="J176" i="2"/>
  <c r="K176" i="2"/>
  <c r="D177" i="2"/>
  <c r="E177" i="2"/>
  <c r="F177" i="2"/>
  <c r="G177" i="2"/>
  <c r="H177" i="2"/>
  <c r="I177" i="2"/>
  <c r="J177" i="2"/>
  <c r="K177" i="2"/>
  <c r="K169" i="2"/>
  <c r="J169" i="2"/>
  <c r="I169" i="2"/>
  <c r="H169" i="2"/>
  <c r="G169" i="2"/>
  <c r="F169" i="2"/>
  <c r="E169" i="2"/>
  <c r="D169" i="2"/>
  <c r="D157" i="2"/>
  <c r="E157" i="2"/>
  <c r="F157" i="2"/>
  <c r="G157" i="2"/>
  <c r="H157" i="2"/>
  <c r="I157" i="2"/>
  <c r="J157" i="2"/>
  <c r="K157" i="2"/>
  <c r="D158" i="2"/>
  <c r="E158" i="2"/>
  <c r="F158" i="2"/>
  <c r="G158" i="2"/>
  <c r="H158" i="2"/>
  <c r="I158" i="2"/>
  <c r="J158" i="2"/>
  <c r="K158" i="2"/>
  <c r="D159" i="2"/>
  <c r="E159" i="2"/>
  <c r="F159" i="2"/>
  <c r="G159" i="2"/>
  <c r="H159" i="2"/>
  <c r="I159" i="2"/>
  <c r="J159" i="2"/>
  <c r="K159" i="2"/>
  <c r="D160" i="2"/>
  <c r="E160" i="2"/>
  <c r="F160" i="2"/>
  <c r="G160" i="2"/>
  <c r="H160" i="2"/>
  <c r="I160" i="2"/>
  <c r="J160" i="2"/>
  <c r="K160" i="2"/>
  <c r="D161" i="2"/>
  <c r="E161" i="2"/>
  <c r="F161" i="2"/>
  <c r="G161" i="2"/>
  <c r="H161" i="2"/>
  <c r="I161" i="2"/>
  <c r="J161" i="2"/>
  <c r="K161" i="2"/>
  <c r="D162" i="2"/>
  <c r="E162" i="2"/>
  <c r="F162" i="2"/>
  <c r="G162" i="2"/>
  <c r="H162" i="2"/>
  <c r="I162" i="2"/>
  <c r="J162" i="2"/>
  <c r="K162" i="2"/>
  <c r="D163" i="2"/>
  <c r="E163" i="2"/>
  <c r="F163" i="2"/>
  <c r="G163" i="2"/>
  <c r="H163" i="2"/>
  <c r="I163" i="2"/>
  <c r="J163" i="2"/>
  <c r="K163" i="2"/>
  <c r="D164" i="2"/>
  <c r="E164" i="2"/>
  <c r="F164" i="2"/>
  <c r="G164" i="2"/>
  <c r="H164" i="2"/>
  <c r="I164" i="2"/>
  <c r="J164" i="2"/>
  <c r="K164" i="2"/>
  <c r="K156" i="2"/>
  <c r="J156" i="2"/>
  <c r="I156" i="2"/>
  <c r="H156" i="2"/>
  <c r="G156" i="2"/>
  <c r="F156" i="2"/>
  <c r="E156" i="2"/>
  <c r="D156" i="2"/>
  <c r="D144" i="2"/>
  <c r="E144" i="2"/>
  <c r="F144" i="2"/>
  <c r="G144" i="2"/>
  <c r="H144" i="2"/>
  <c r="I144" i="2"/>
  <c r="J144" i="2"/>
  <c r="K144" i="2"/>
  <c r="D145" i="2"/>
  <c r="E145" i="2"/>
  <c r="F145" i="2"/>
  <c r="G145" i="2"/>
  <c r="H145" i="2"/>
  <c r="I145" i="2"/>
  <c r="J145" i="2"/>
  <c r="K145" i="2"/>
  <c r="D146" i="2"/>
  <c r="E146" i="2"/>
  <c r="F146" i="2"/>
  <c r="G146" i="2"/>
  <c r="H146" i="2"/>
  <c r="I146" i="2"/>
  <c r="J146" i="2"/>
  <c r="K146" i="2"/>
  <c r="D147" i="2"/>
  <c r="E147" i="2"/>
  <c r="F147" i="2"/>
  <c r="G147" i="2"/>
  <c r="H147" i="2"/>
  <c r="I147" i="2"/>
  <c r="J147" i="2"/>
  <c r="K147" i="2"/>
  <c r="D148" i="2"/>
  <c r="E148" i="2"/>
  <c r="F148" i="2"/>
  <c r="G148" i="2"/>
  <c r="H148" i="2"/>
  <c r="I148" i="2"/>
  <c r="J148" i="2"/>
  <c r="K148" i="2"/>
  <c r="D149" i="2"/>
  <c r="E149" i="2"/>
  <c r="F149" i="2"/>
  <c r="G149" i="2"/>
  <c r="H149" i="2"/>
  <c r="I149" i="2"/>
  <c r="J149" i="2"/>
  <c r="K149" i="2"/>
  <c r="D150" i="2"/>
  <c r="E150" i="2"/>
  <c r="F150" i="2"/>
  <c r="G150" i="2"/>
  <c r="H150" i="2"/>
  <c r="I150" i="2"/>
  <c r="J150" i="2"/>
  <c r="K150" i="2"/>
  <c r="D151" i="2"/>
  <c r="E151" i="2"/>
  <c r="F151" i="2"/>
  <c r="G151" i="2"/>
  <c r="H151" i="2"/>
  <c r="I151" i="2"/>
  <c r="J151" i="2"/>
  <c r="K151" i="2"/>
  <c r="K143" i="2"/>
  <c r="J143" i="2"/>
  <c r="I143" i="2"/>
  <c r="H143" i="2"/>
  <c r="G143" i="2"/>
  <c r="F143" i="2"/>
  <c r="E143" i="2"/>
  <c r="D143" i="2"/>
  <c r="D132" i="2"/>
  <c r="E132" i="2"/>
  <c r="F132" i="2"/>
  <c r="G132" i="2"/>
  <c r="H132" i="2"/>
  <c r="I132" i="2"/>
  <c r="J132" i="2"/>
  <c r="K132" i="2"/>
  <c r="D133" i="2"/>
  <c r="E133" i="2"/>
  <c r="F133" i="2"/>
  <c r="G133" i="2"/>
  <c r="H133" i="2"/>
  <c r="I133" i="2"/>
  <c r="J133" i="2"/>
  <c r="K133" i="2"/>
  <c r="D134" i="2"/>
  <c r="E134" i="2"/>
  <c r="F134" i="2"/>
  <c r="G134" i="2"/>
  <c r="H134" i="2"/>
  <c r="I134" i="2"/>
  <c r="J134" i="2"/>
  <c r="K134" i="2"/>
  <c r="D135" i="2"/>
  <c r="E135" i="2"/>
  <c r="F135" i="2"/>
  <c r="G135" i="2"/>
  <c r="H135" i="2"/>
  <c r="I135" i="2"/>
  <c r="J135" i="2"/>
  <c r="K135" i="2"/>
  <c r="D136" i="2"/>
  <c r="E136" i="2"/>
  <c r="F136" i="2"/>
  <c r="G136" i="2"/>
  <c r="H136" i="2"/>
  <c r="I136" i="2"/>
  <c r="J136" i="2"/>
  <c r="K136" i="2"/>
  <c r="D137" i="2"/>
  <c r="E137" i="2"/>
  <c r="F137" i="2"/>
  <c r="G137" i="2"/>
  <c r="H137" i="2"/>
  <c r="I137" i="2"/>
  <c r="J137" i="2"/>
  <c r="K137" i="2"/>
  <c r="D138" i="2"/>
  <c r="E138" i="2"/>
  <c r="F138" i="2"/>
  <c r="G138" i="2"/>
  <c r="H138" i="2"/>
  <c r="I138" i="2"/>
  <c r="J138" i="2"/>
  <c r="K138" i="2"/>
  <c r="D139" i="2"/>
  <c r="E139" i="2"/>
  <c r="F139" i="2"/>
  <c r="G139" i="2"/>
  <c r="H139" i="2"/>
  <c r="I139" i="2"/>
  <c r="J139" i="2"/>
  <c r="K139" i="2"/>
  <c r="K131" i="2"/>
  <c r="J131" i="2"/>
  <c r="I131" i="2"/>
  <c r="H131" i="2"/>
  <c r="G131" i="2"/>
  <c r="F131" i="2"/>
  <c r="E131" i="2"/>
  <c r="D131" i="2"/>
  <c r="D4" i="2"/>
  <c r="S118" i="2"/>
  <c r="T118" i="2"/>
  <c r="U118" i="2"/>
  <c r="V118" i="2"/>
  <c r="W118" i="2"/>
  <c r="X118" i="2"/>
  <c r="Y118" i="2"/>
  <c r="S119" i="2"/>
  <c r="T119" i="2"/>
  <c r="U119" i="2"/>
  <c r="V119" i="2"/>
  <c r="W119" i="2"/>
  <c r="X119" i="2"/>
  <c r="Y119" i="2"/>
  <c r="S120" i="2"/>
  <c r="T120" i="2"/>
  <c r="U120" i="2"/>
  <c r="V120" i="2"/>
  <c r="W120" i="2"/>
  <c r="X120" i="2"/>
  <c r="Y120" i="2"/>
  <c r="S121" i="2"/>
  <c r="T121" i="2"/>
  <c r="U121" i="2"/>
  <c r="V121" i="2"/>
  <c r="W121" i="2"/>
  <c r="X121" i="2"/>
  <c r="Y121" i="2"/>
  <c r="S122" i="2"/>
  <c r="T122" i="2"/>
  <c r="U122" i="2"/>
  <c r="V122" i="2"/>
  <c r="W122" i="2"/>
  <c r="X122" i="2"/>
  <c r="Y122" i="2"/>
  <c r="S123" i="2"/>
  <c r="T123" i="2"/>
  <c r="U123" i="2"/>
  <c r="V123" i="2"/>
  <c r="W123" i="2"/>
  <c r="X123" i="2"/>
  <c r="Y123" i="2"/>
  <c r="S124" i="2"/>
  <c r="T124" i="2"/>
  <c r="U124" i="2"/>
  <c r="V124" i="2"/>
  <c r="W124" i="2"/>
  <c r="X124" i="2"/>
  <c r="Y124" i="2"/>
  <c r="S125" i="2"/>
  <c r="T125" i="2"/>
  <c r="U125" i="2"/>
  <c r="V125" i="2"/>
  <c r="W125" i="2"/>
  <c r="X125" i="2"/>
  <c r="Y125" i="2"/>
  <c r="S126" i="2"/>
  <c r="T126" i="2"/>
  <c r="U126" i="2"/>
  <c r="V126" i="2"/>
  <c r="W126" i="2"/>
  <c r="X126" i="2"/>
  <c r="Y126" i="2"/>
  <c r="R120" i="2"/>
  <c r="R121" i="2"/>
  <c r="R122" i="2"/>
  <c r="R123" i="2"/>
  <c r="R124" i="2"/>
  <c r="R125" i="2"/>
  <c r="R126" i="2"/>
  <c r="R119" i="2"/>
  <c r="R118" i="2"/>
  <c r="Y105" i="2"/>
  <c r="Y106" i="2"/>
  <c r="Y107" i="2"/>
  <c r="Y108" i="2"/>
  <c r="Y109" i="2"/>
  <c r="Y110" i="2"/>
  <c r="Y111" i="2"/>
  <c r="Y112" i="2"/>
  <c r="Y113" i="2"/>
  <c r="S105" i="2"/>
  <c r="T105" i="2"/>
  <c r="U105" i="2"/>
  <c r="V105" i="2"/>
  <c r="W105" i="2"/>
  <c r="X105" i="2"/>
  <c r="S106" i="2"/>
  <c r="T106" i="2"/>
  <c r="U106" i="2"/>
  <c r="V106" i="2"/>
  <c r="W106" i="2"/>
  <c r="X106" i="2"/>
  <c r="S107" i="2"/>
  <c r="T107" i="2"/>
  <c r="U107" i="2"/>
  <c r="V107" i="2"/>
  <c r="W107" i="2"/>
  <c r="X107" i="2"/>
  <c r="S108" i="2"/>
  <c r="T108" i="2"/>
  <c r="U108" i="2"/>
  <c r="V108" i="2"/>
  <c r="W108" i="2"/>
  <c r="X108" i="2"/>
  <c r="S109" i="2"/>
  <c r="T109" i="2"/>
  <c r="U109" i="2"/>
  <c r="V109" i="2"/>
  <c r="W109" i="2"/>
  <c r="X109" i="2"/>
  <c r="S110" i="2"/>
  <c r="T110" i="2"/>
  <c r="U110" i="2"/>
  <c r="V110" i="2"/>
  <c r="W110" i="2"/>
  <c r="X110" i="2"/>
  <c r="S111" i="2"/>
  <c r="T111" i="2"/>
  <c r="U111" i="2"/>
  <c r="V111" i="2"/>
  <c r="W111" i="2"/>
  <c r="X111" i="2"/>
  <c r="S112" i="2"/>
  <c r="T112" i="2"/>
  <c r="U112" i="2"/>
  <c r="V112" i="2"/>
  <c r="W112" i="2"/>
  <c r="X112" i="2"/>
  <c r="S113" i="2"/>
  <c r="T113" i="2"/>
  <c r="U113" i="2"/>
  <c r="V113" i="2"/>
  <c r="W113" i="2"/>
  <c r="X113" i="2"/>
  <c r="R107" i="2"/>
  <c r="R108" i="2"/>
  <c r="R109" i="2"/>
  <c r="R110" i="2"/>
  <c r="R111" i="2"/>
  <c r="R112" i="2"/>
  <c r="R113" i="2"/>
  <c r="R106" i="2"/>
  <c r="R105" i="2"/>
  <c r="S92" i="2"/>
  <c r="T92" i="2"/>
  <c r="U92" i="2"/>
  <c r="V92" i="2"/>
  <c r="W92" i="2"/>
  <c r="X92" i="2"/>
  <c r="Y92" i="2"/>
  <c r="S93" i="2"/>
  <c r="T93" i="2"/>
  <c r="U93" i="2"/>
  <c r="V93" i="2"/>
  <c r="W93" i="2"/>
  <c r="X93" i="2"/>
  <c r="Y93" i="2"/>
  <c r="S94" i="2"/>
  <c r="T94" i="2"/>
  <c r="U94" i="2"/>
  <c r="V94" i="2"/>
  <c r="W94" i="2"/>
  <c r="X94" i="2"/>
  <c r="Y94" i="2"/>
  <c r="S95" i="2"/>
  <c r="T95" i="2"/>
  <c r="U95" i="2"/>
  <c r="V95" i="2"/>
  <c r="W95" i="2"/>
  <c r="X95" i="2"/>
  <c r="Y95" i="2"/>
  <c r="S96" i="2"/>
  <c r="T96" i="2"/>
  <c r="U96" i="2"/>
  <c r="V96" i="2"/>
  <c r="W96" i="2"/>
  <c r="X96" i="2"/>
  <c r="Y96" i="2"/>
  <c r="S97" i="2"/>
  <c r="T97" i="2"/>
  <c r="U97" i="2"/>
  <c r="V97" i="2"/>
  <c r="W97" i="2"/>
  <c r="X97" i="2"/>
  <c r="Y97" i="2"/>
  <c r="S98" i="2"/>
  <c r="T98" i="2"/>
  <c r="U98" i="2"/>
  <c r="V98" i="2"/>
  <c r="W98" i="2"/>
  <c r="X98" i="2"/>
  <c r="Y98" i="2"/>
  <c r="S99" i="2"/>
  <c r="T99" i="2"/>
  <c r="U99" i="2"/>
  <c r="V99" i="2"/>
  <c r="W99" i="2"/>
  <c r="X99" i="2"/>
  <c r="Y99" i="2"/>
  <c r="S100" i="2"/>
  <c r="T100" i="2"/>
  <c r="U100" i="2"/>
  <c r="V100" i="2"/>
  <c r="W100" i="2"/>
  <c r="X100" i="2"/>
  <c r="Y100" i="2"/>
  <c r="R94" i="2"/>
  <c r="R95" i="2"/>
  <c r="R96" i="2"/>
  <c r="R97" i="2"/>
  <c r="R98" i="2"/>
  <c r="R99" i="2"/>
  <c r="R100" i="2"/>
  <c r="R93" i="2"/>
  <c r="R92" i="2"/>
  <c r="Y79" i="2"/>
  <c r="Y80" i="2"/>
  <c r="Y81" i="2"/>
  <c r="Y82" i="2"/>
  <c r="Y83" i="2"/>
  <c r="Y84" i="2"/>
  <c r="Y85" i="2"/>
  <c r="Y86" i="2"/>
  <c r="Y87" i="2"/>
  <c r="S79" i="2"/>
  <c r="T79" i="2"/>
  <c r="U79" i="2"/>
  <c r="V79" i="2"/>
  <c r="W79" i="2"/>
  <c r="X79" i="2"/>
  <c r="S80" i="2"/>
  <c r="T80" i="2"/>
  <c r="U80" i="2"/>
  <c r="V80" i="2"/>
  <c r="W80" i="2"/>
  <c r="X80" i="2"/>
  <c r="S81" i="2"/>
  <c r="T81" i="2"/>
  <c r="U81" i="2"/>
  <c r="V81" i="2"/>
  <c r="W81" i="2"/>
  <c r="X81" i="2"/>
  <c r="S82" i="2"/>
  <c r="T82" i="2"/>
  <c r="U82" i="2"/>
  <c r="V82" i="2"/>
  <c r="W82" i="2"/>
  <c r="X82" i="2"/>
  <c r="S83" i="2"/>
  <c r="T83" i="2"/>
  <c r="U83" i="2"/>
  <c r="V83" i="2"/>
  <c r="W83" i="2"/>
  <c r="X83" i="2"/>
  <c r="S84" i="2"/>
  <c r="T84" i="2"/>
  <c r="U84" i="2"/>
  <c r="V84" i="2"/>
  <c r="W84" i="2"/>
  <c r="X84" i="2"/>
  <c r="S85" i="2"/>
  <c r="T85" i="2"/>
  <c r="U85" i="2"/>
  <c r="V85" i="2"/>
  <c r="W85" i="2"/>
  <c r="X85" i="2"/>
  <c r="S86" i="2"/>
  <c r="T86" i="2"/>
  <c r="U86" i="2"/>
  <c r="V86" i="2"/>
  <c r="W86" i="2"/>
  <c r="X86" i="2"/>
  <c r="S87" i="2"/>
  <c r="T87" i="2"/>
  <c r="U87" i="2"/>
  <c r="V87" i="2"/>
  <c r="W87" i="2"/>
  <c r="X87" i="2"/>
  <c r="R81" i="2"/>
  <c r="R82" i="2"/>
  <c r="R83" i="2"/>
  <c r="R84" i="2"/>
  <c r="R85" i="2"/>
  <c r="R86" i="2"/>
  <c r="R87" i="2"/>
  <c r="R80" i="2"/>
  <c r="R79" i="2"/>
  <c r="S66" i="2"/>
  <c r="T66" i="2"/>
  <c r="U66" i="2"/>
  <c r="V66" i="2"/>
  <c r="W66" i="2"/>
  <c r="X66" i="2"/>
  <c r="Y66" i="2"/>
  <c r="S67" i="2"/>
  <c r="T67" i="2"/>
  <c r="U67" i="2"/>
  <c r="V67" i="2"/>
  <c r="W67" i="2"/>
  <c r="X67" i="2"/>
  <c r="Y67" i="2"/>
  <c r="S68" i="2"/>
  <c r="T68" i="2"/>
  <c r="U68" i="2"/>
  <c r="V68" i="2"/>
  <c r="W68" i="2"/>
  <c r="X68" i="2"/>
  <c r="Y68" i="2"/>
  <c r="S69" i="2"/>
  <c r="T69" i="2"/>
  <c r="U69" i="2"/>
  <c r="V69" i="2"/>
  <c r="W69" i="2"/>
  <c r="X69" i="2"/>
  <c r="Y69" i="2"/>
  <c r="S70" i="2"/>
  <c r="T70" i="2"/>
  <c r="U70" i="2"/>
  <c r="V70" i="2"/>
  <c r="W70" i="2"/>
  <c r="X70" i="2"/>
  <c r="Y70" i="2"/>
  <c r="S71" i="2"/>
  <c r="T71" i="2"/>
  <c r="U71" i="2"/>
  <c r="V71" i="2"/>
  <c r="W71" i="2"/>
  <c r="X71" i="2"/>
  <c r="Y71" i="2"/>
  <c r="S72" i="2"/>
  <c r="T72" i="2"/>
  <c r="U72" i="2"/>
  <c r="V72" i="2"/>
  <c r="W72" i="2"/>
  <c r="X72" i="2"/>
  <c r="Y72" i="2"/>
  <c r="S73" i="2"/>
  <c r="T73" i="2"/>
  <c r="U73" i="2"/>
  <c r="V73" i="2"/>
  <c r="W73" i="2"/>
  <c r="X73" i="2"/>
  <c r="Y73" i="2"/>
  <c r="S74" i="2"/>
  <c r="T74" i="2"/>
  <c r="U74" i="2"/>
  <c r="V74" i="2"/>
  <c r="W74" i="2"/>
  <c r="X74" i="2"/>
  <c r="Y74" i="2"/>
  <c r="R68" i="2"/>
  <c r="R69" i="2"/>
  <c r="R70" i="2"/>
  <c r="R71" i="2"/>
  <c r="R72" i="2"/>
  <c r="R73" i="2"/>
  <c r="R74" i="2"/>
  <c r="R67" i="2"/>
  <c r="R66" i="2"/>
  <c r="S53" i="2"/>
  <c r="T53" i="2"/>
  <c r="U53" i="2"/>
  <c r="V53" i="2"/>
  <c r="W53" i="2"/>
  <c r="X53" i="2"/>
  <c r="Y53" i="2"/>
  <c r="S54" i="2"/>
  <c r="T54" i="2"/>
  <c r="U54" i="2"/>
  <c r="V54" i="2"/>
  <c r="W54" i="2"/>
  <c r="X54" i="2"/>
  <c r="Y54" i="2"/>
  <c r="S55" i="2"/>
  <c r="T55" i="2"/>
  <c r="U55" i="2"/>
  <c r="V55" i="2"/>
  <c r="W55" i="2"/>
  <c r="X55" i="2"/>
  <c r="Y55" i="2"/>
  <c r="S56" i="2"/>
  <c r="T56" i="2"/>
  <c r="U56" i="2"/>
  <c r="V56" i="2"/>
  <c r="W56" i="2"/>
  <c r="X56" i="2"/>
  <c r="Y56" i="2"/>
  <c r="S57" i="2"/>
  <c r="T57" i="2"/>
  <c r="U57" i="2"/>
  <c r="V57" i="2"/>
  <c r="W57" i="2"/>
  <c r="X57" i="2"/>
  <c r="Y57" i="2"/>
  <c r="S58" i="2"/>
  <c r="T58" i="2"/>
  <c r="U58" i="2"/>
  <c r="V58" i="2"/>
  <c r="W58" i="2"/>
  <c r="X58" i="2"/>
  <c r="Y58" i="2"/>
  <c r="S59" i="2"/>
  <c r="T59" i="2"/>
  <c r="U59" i="2"/>
  <c r="V59" i="2"/>
  <c r="W59" i="2"/>
  <c r="X59" i="2"/>
  <c r="Y59" i="2"/>
  <c r="S60" i="2"/>
  <c r="T60" i="2"/>
  <c r="U60" i="2"/>
  <c r="V60" i="2"/>
  <c r="W60" i="2"/>
  <c r="X60" i="2"/>
  <c r="Y60" i="2"/>
  <c r="S61" i="2"/>
  <c r="T61" i="2"/>
  <c r="U61" i="2"/>
  <c r="V61" i="2"/>
  <c r="W61" i="2"/>
  <c r="X61" i="2"/>
  <c r="Y61" i="2"/>
  <c r="R55" i="2"/>
  <c r="R56" i="2"/>
  <c r="R57" i="2"/>
  <c r="R58" i="2"/>
  <c r="R59" i="2"/>
  <c r="R60" i="2"/>
  <c r="R61" i="2"/>
  <c r="R54" i="2"/>
  <c r="R53" i="2"/>
  <c r="S40" i="2"/>
  <c r="T40" i="2"/>
  <c r="U40" i="2"/>
  <c r="V40" i="2"/>
  <c r="W40" i="2"/>
  <c r="X40" i="2"/>
  <c r="Y40" i="2"/>
  <c r="S41" i="2"/>
  <c r="T41" i="2"/>
  <c r="U41" i="2"/>
  <c r="V41" i="2"/>
  <c r="W41" i="2"/>
  <c r="X41" i="2"/>
  <c r="Y41" i="2"/>
  <c r="S42" i="2"/>
  <c r="T42" i="2"/>
  <c r="U42" i="2"/>
  <c r="V42" i="2"/>
  <c r="W42" i="2"/>
  <c r="X42" i="2"/>
  <c r="Y42" i="2"/>
  <c r="S43" i="2"/>
  <c r="T43" i="2"/>
  <c r="U43" i="2"/>
  <c r="V43" i="2"/>
  <c r="W43" i="2"/>
  <c r="X43" i="2"/>
  <c r="Y43" i="2"/>
  <c r="S44" i="2"/>
  <c r="T44" i="2"/>
  <c r="U44" i="2"/>
  <c r="V44" i="2"/>
  <c r="W44" i="2"/>
  <c r="X44" i="2"/>
  <c r="Y44" i="2"/>
  <c r="S45" i="2"/>
  <c r="T45" i="2"/>
  <c r="U45" i="2"/>
  <c r="V45" i="2"/>
  <c r="W45" i="2"/>
  <c r="X45" i="2"/>
  <c r="Y45" i="2"/>
  <c r="S46" i="2"/>
  <c r="T46" i="2"/>
  <c r="U46" i="2"/>
  <c r="V46" i="2"/>
  <c r="W46" i="2"/>
  <c r="X46" i="2"/>
  <c r="Y46" i="2"/>
  <c r="S47" i="2"/>
  <c r="T47" i="2"/>
  <c r="U47" i="2"/>
  <c r="V47" i="2"/>
  <c r="W47" i="2"/>
  <c r="X47" i="2"/>
  <c r="Y47" i="2"/>
  <c r="S48" i="2"/>
  <c r="T48" i="2"/>
  <c r="U48" i="2"/>
  <c r="V48" i="2"/>
  <c r="W48" i="2"/>
  <c r="X48" i="2"/>
  <c r="Y48" i="2"/>
  <c r="R42" i="2"/>
  <c r="R43" i="2"/>
  <c r="R44" i="2"/>
  <c r="R45" i="2"/>
  <c r="R46" i="2"/>
  <c r="R47" i="2"/>
  <c r="R48" i="2"/>
  <c r="R41" i="2"/>
  <c r="R40" i="2"/>
  <c r="S27" i="2"/>
  <c r="T27" i="2"/>
  <c r="U27" i="2"/>
  <c r="V27" i="2"/>
  <c r="W27" i="2"/>
  <c r="X27" i="2"/>
  <c r="Y27" i="2"/>
  <c r="S28" i="2"/>
  <c r="T28" i="2"/>
  <c r="U28" i="2"/>
  <c r="V28" i="2"/>
  <c r="W28" i="2"/>
  <c r="X28" i="2"/>
  <c r="Y28" i="2"/>
  <c r="S29" i="2"/>
  <c r="T29" i="2"/>
  <c r="U29" i="2"/>
  <c r="V29" i="2"/>
  <c r="W29" i="2"/>
  <c r="X29" i="2"/>
  <c r="Y29" i="2"/>
  <c r="S30" i="2"/>
  <c r="T30" i="2"/>
  <c r="U30" i="2"/>
  <c r="V30" i="2"/>
  <c r="W30" i="2"/>
  <c r="X30" i="2"/>
  <c r="Y30" i="2"/>
  <c r="S31" i="2"/>
  <c r="T31" i="2"/>
  <c r="U31" i="2"/>
  <c r="V31" i="2"/>
  <c r="W31" i="2"/>
  <c r="X31" i="2"/>
  <c r="Y31" i="2"/>
  <c r="S32" i="2"/>
  <c r="T32" i="2"/>
  <c r="U32" i="2"/>
  <c r="V32" i="2"/>
  <c r="W32" i="2"/>
  <c r="X32" i="2"/>
  <c r="Y32" i="2"/>
  <c r="S33" i="2"/>
  <c r="T33" i="2"/>
  <c r="U33" i="2"/>
  <c r="V33" i="2"/>
  <c r="W33" i="2"/>
  <c r="X33" i="2"/>
  <c r="Y33" i="2"/>
  <c r="S34" i="2"/>
  <c r="T34" i="2"/>
  <c r="U34" i="2"/>
  <c r="V34" i="2"/>
  <c r="W34" i="2"/>
  <c r="X34" i="2"/>
  <c r="Y34" i="2"/>
  <c r="S35" i="2"/>
  <c r="T35" i="2"/>
  <c r="U35" i="2"/>
  <c r="V35" i="2"/>
  <c r="W35" i="2"/>
  <c r="X35" i="2"/>
  <c r="Y35" i="2"/>
  <c r="R29" i="2"/>
  <c r="R30" i="2"/>
  <c r="R31" i="2"/>
  <c r="R32" i="2"/>
  <c r="R33" i="2"/>
  <c r="R34" i="2"/>
  <c r="R35" i="2"/>
  <c r="R28" i="2"/>
  <c r="R27" i="2"/>
  <c r="S15" i="2"/>
  <c r="T15" i="2"/>
  <c r="U15" i="2"/>
  <c r="V15" i="2"/>
  <c r="W15" i="2"/>
  <c r="X15" i="2"/>
  <c r="Y15" i="2"/>
  <c r="S16" i="2"/>
  <c r="T16" i="2"/>
  <c r="U16" i="2"/>
  <c r="V16" i="2"/>
  <c r="W16" i="2"/>
  <c r="X16" i="2"/>
  <c r="Y16" i="2"/>
  <c r="S17" i="2"/>
  <c r="T17" i="2"/>
  <c r="U17" i="2"/>
  <c r="V17" i="2"/>
  <c r="W17" i="2"/>
  <c r="X17" i="2"/>
  <c r="Y17" i="2"/>
  <c r="S18" i="2"/>
  <c r="T18" i="2"/>
  <c r="U18" i="2"/>
  <c r="V18" i="2"/>
  <c r="W18" i="2"/>
  <c r="X18" i="2"/>
  <c r="Y18" i="2"/>
  <c r="S19" i="2"/>
  <c r="T19" i="2"/>
  <c r="U19" i="2"/>
  <c r="V19" i="2"/>
  <c r="W19" i="2"/>
  <c r="X19" i="2"/>
  <c r="Y19" i="2"/>
  <c r="S20" i="2"/>
  <c r="T20" i="2"/>
  <c r="U20" i="2"/>
  <c r="V20" i="2"/>
  <c r="W20" i="2"/>
  <c r="X20" i="2"/>
  <c r="Y20" i="2"/>
  <c r="S21" i="2"/>
  <c r="T21" i="2"/>
  <c r="U21" i="2"/>
  <c r="V21" i="2"/>
  <c r="W21" i="2"/>
  <c r="X21" i="2"/>
  <c r="Y21" i="2"/>
  <c r="S22" i="2"/>
  <c r="T22" i="2"/>
  <c r="U22" i="2"/>
  <c r="V22" i="2"/>
  <c r="W22" i="2"/>
  <c r="X22" i="2"/>
  <c r="Y22" i="2"/>
  <c r="S23" i="2"/>
  <c r="T23" i="2"/>
  <c r="U23" i="2"/>
  <c r="V23" i="2"/>
  <c r="W23" i="2"/>
  <c r="X23" i="2"/>
  <c r="Y23" i="2"/>
  <c r="R17" i="2"/>
  <c r="R18" i="2"/>
  <c r="R19" i="2"/>
  <c r="R20" i="2"/>
  <c r="R21" i="2"/>
  <c r="R22" i="2"/>
  <c r="R23" i="2"/>
  <c r="R16" i="2"/>
  <c r="R15" i="2"/>
  <c r="E118" i="2"/>
  <c r="F118" i="2"/>
  <c r="G118" i="2"/>
  <c r="H118" i="2"/>
  <c r="I118" i="2"/>
  <c r="J118" i="2"/>
  <c r="K118" i="2"/>
  <c r="E119" i="2"/>
  <c r="F119" i="2"/>
  <c r="G119" i="2"/>
  <c r="H119" i="2"/>
  <c r="I119" i="2"/>
  <c r="J119" i="2"/>
  <c r="K119" i="2"/>
  <c r="E120" i="2"/>
  <c r="F120" i="2"/>
  <c r="G120" i="2"/>
  <c r="H120" i="2"/>
  <c r="I120" i="2"/>
  <c r="J120" i="2"/>
  <c r="K120" i="2"/>
  <c r="E121" i="2"/>
  <c r="F121" i="2"/>
  <c r="G121" i="2"/>
  <c r="H121" i="2"/>
  <c r="I121" i="2"/>
  <c r="J121" i="2"/>
  <c r="K121" i="2"/>
  <c r="E122" i="2"/>
  <c r="F122" i="2"/>
  <c r="G122" i="2"/>
  <c r="H122" i="2"/>
  <c r="I122" i="2"/>
  <c r="J122" i="2"/>
  <c r="K122" i="2"/>
  <c r="E123" i="2"/>
  <c r="F123" i="2"/>
  <c r="G123" i="2"/>
  <c r="H123" i="2"/>
  <c r="I123" i="2"/>
  <c r="J123" i="2"/>
  <c r="K123" i="2"/>
  <c r="E124" i="2"/>
  <c r="F124" i="2"/>
  <c r="G124" i="2"/>
  <c r="H124" i="2"/>
  <c r="I124" i="2"/>
  <c r="J124" i="2"/>
  <c r="K124" i="2"/>
  <c r="E125" i="2"/>
  <c r="F125" i="2"/>
  <c r="G125" i="2"/>
  <c r="H125" i="2"/>
  <c r="I125" i="2"/>
  <c r="J125" i="2"/>
  <c r="K125" i="2"/>
  <c r="E126" i="2"/>
  <c r="F126" i="2"/>
  <c r="G126" i="2"/>
  <c r="H126" i="2"/>
  <c r="I126" i="2"/>
  <c r="J126" i="2"/>
  <c r="K126" i="2"/>
  <c r="D120" i="2"/>
  <c r="D121" i="2"/>
  <c r="D122" i="2"/>
  <c r="D123" i="2"/>
  <c r="D124" i="2"/>
  <c r="D125" i="2"/>
  <c r="D126" i="2"/>
  <c r="D119" i="2"/>
  <c r="D118" i="2"/>
  <c r="E105" i="2"/>
  <c r="F105" i="2"/>
  <c r="G105" i="2"/>
  <c r="H105" i="2"/>
  <c r="I105" i="2"/>
  <c r="J105" i="2"/>
  <c r="K105" i="2"/>
  <c r="E106" i="2"/>
  <c r="F106" i="2"/>
  <c r="G106" i="2"/>
  <c r="H106" i="2"/>
  <c r="I106" i="2"/>
  <c r="J106" i="2"/>
  <c r="K106" i="2"/>
  <c r="E107" i="2"/>
  <c r="F107" i="2"/>
  <c r="G107" i="2"/>
  <c r="H107" i="2"/>
  <c r="I107" i="2"/>
  <c r="J107" i="2"/>
  <c r="K107" i="2"/>
  <c r="E108" i="2"/>
  <c r="F108" i="2"/>
  <c r="G108" i="2"/>
  <c r="H108" i="2"/>
  <c r="I108" i="2"/>
  <c r="J108" i="2"/>
  <c r="K108" i="2"/>
  <c r="E109" i="2"/>
  <c r="F109" i="2"/>
  <c r="G109" i="2"/>
  <c r="H109" i="2"/>
  <c r="I109" i="2"/>
  <c r="J109" i="2"/>
  <c r="K109" i="2"/>
  <c r="E110" i="2"/>
  <c r="F110" i="2"/>
  <c r="G110" i="2"/>
  <c r="H110" i="2"/>
  <c r="I110" i="2"/>
  <c r="J110" i="2"/>
  <c r="K110" i="2"/>
  <c r="E111" i="2"/>
  <c r="F111" i="2"/>
  <c r="G111" i="2"/>
  <c r="H111" i="2"/>
  <c r="I111" i="2"/>
  <c r="J111" i="2"/>
  <c r="K111" i="2"/>
  <c r="E112" i="2"/>
  <c r="F112" i="2"/>
  <c r="G112" i="2"/>
  <c r="H112" i="2"/>
  <c r="I112" i="2"/>
  <c r="J112" i="2"/>
  <c r="K112" i="2"/>
  <c r="E113" i="2"/>
  <c r="F113" i="2"/>
  <c r="G113" i="2"/>
  <c r="H113" i="2"/>
  <c r="I113" i="2"/>
  <c r="J113" i="2"/>
  <c r="K113" i="2"/>
  <c r="D107" i="2"/>
  <c r="D108" i="2"/>
  <c r="D109" i="2"/>
  <c r="D110" i="2"/>
  <c r="D111" i="2"/>
  <c r="D112" i="2"/>
  <c r="D113" i="2"/>
  <c r="D106" i="2"/>
  <c r="D105" i="2"/>
  <c r="E92" i="2"/>
  <c r="F92" i="2"/>
  <c r="G92" i="2"/>
  <c r="H92" i="2"/>
  <c r="I92" i="2"/>
  <c r="J92" i="2"/>
  <c r="K92" i="2"/>
  <c r="E93" i="2"/>
  <c r="F93" i="2"/>
  <c r="G93" i="2"/>
  <c r="H93" i="2"/>
  <c r="I93" i="2"/>
  <c r="J93" i="2"/>
  <c r="K93" i="2"/>
  <c r="E94" i="2"/>
  <c r="F94" i="2"/>
  <c r="G94" i="2"/>
  <c r="H94" i="2"/>
  <c r="I94" i="2"/>
  <c r="J94" i="2"/>
  <c r="K94" i="2"/>
  <c r="E95" i="2"/>
  <c r="F95" i="2"/>
  <c r="G95" i="2"/>
  <c r="H95" i="2"/>
  <c r="I95" i="2"/>
  <c r="J95" i="2"/>
  <c r="K95" i="2"/>
  <c r="E96" i="2"/>
  <c r="F96" i="2"/>
  <c r="G96" i="2"/>
  <c r="H96" i="2"/>
  <c r="I96" i="2"/>
  <c r="J96" i="2"/>
  <c r="K96" i="2"/>
  <c r="E97" i="2"/>
  <c r="F97" i="2"/>
  <c r="G97" i="2"/>
  <c r="H97" i="2"/>
  <c r="I97" i="2"/>
  <c r="J97" i="2"/>
  <c r="K97" i="2"/>
  <c r="E98" i="2"/>
  <c r="F98" i="2"/>
  <c r="G98" i="2"/>
  <c r="H98" i="2"/>
  <c r="I98" i="2"/>
  <c r="J98" i="2"/>
  <c r="K98" i="2"/>
  <c r="E99" i="2"/>
  <c r="F99" i="2"/>
  <c r="G99" i="2"/>
  <c r="H99" i="2"/>
  <c r="I99" i="2"/>
  <c r="J99" i="2"/>
  <c r="K99" i="2"/>
  <c r="E100" i="2"/>
  <c r="F100" i="2"/>
  <c r="G100" i="2"/>
  <c r="H100" i="2"/>
  <c r="I100" i="2"/>
  <c r="J100" i="2"/>
  <c r="K100" i="2"/>
  <c r="D94" i="2"/>
  <c r="D95" i="2"/>
  <c r="D96" i="2"/>
  <c r="D97" i="2"/>
  <c r="D98" i="2"/>
  <c r="D99" i="2"/>
  <c r="D100" i="2"/>
  <c r="D93" i="2"/>
  <c r="D92" i="2"/>
  <c r="E79" i="2"/>
  <c r="F79" i="2"/>
  <c r="G79" i="2"/>
  <c r="H79" i="2"/>
  <c r="I79" i="2"/>
  <c r="J79" i="2"/>
  <c r="K79" i="2"/>
  <c r="E80" i="2"/>
  <c r="F80" i="2"/>
  <c r="G80" i="2"/>
  <c r="H80" i="2"/>
  <c r="I80" i="2"/>
  <c r="J80" i="2"/>
  <c r="K80" i="2"/>
  <c r="E81" i="2"/>
  <c r="F81" i="2"/>
  <c r="G81" i="2"/>
  <c r="H81" i="2"/>
  <c r="I81" i="2"/>
  <c r="J81" i="2"/>
  <c r="K81" i="2"/>
  <c r="E82" i="2"/>
  <c r="F82" i="2"/>
  <c r="G82" i="2"/>
  <c r="H82" i="2"/>
  <c r="I82" i="2"/>
  <c r="J82" i="2"/>
  <c r="K82" i="2"/>
  <c r="E83" i="2"/>
  <c r="F83" i="2"/>
  <c r="G83" i="2"/>
  <c r="H83" i="2"/>
  <c r="I83" i="2"/>
  <c r="J83" i="2"/>
  <c r="K83" i="2"/>
  <c r="E84" i="2"/>
  <c r="F84" i="2"/>
  <c r="G84" i="2"/>
  <c r="H84" i="2"/>
  <c r="I84" i="2"/>
  <c r="J84" i="2"/>
  <c r="K84" i="2"/>
  <c r="E85" i="2"/>
  <c r="F85" i="2"/>
  <c r="G85" i="2"/>
  <c r="H85" i="2"/>
  <c r="I85" i="2"/>
  <c r="J85" i="2"/>
  <c r="K85" i="2"/>
  <c r="E86" i="2"/>
  <c r="F86" i="2"/>
  <c r="G86" i="2"/>
  <c r="H86" i="2"/>
  <c r="I86" i="2"/>
  <c r="J86" i="2"/>
  <c r="K86" i="2"/>
  <c r="E87" i="2"/>
  <c r="F87" i="2"/>
  <c r="G87" i="2"/>
  <c r="H87" i="2"/>
  <c r="I87" i="2"/>
  <c r="J87" i="2"/>
  <c r="K87" i="2"/>
  <c r="D81" i="2"/>
  <c r="D82" i="2"/>
  <c r="D83" i="2"/>
  <c r="D84" i="2"/>
  <c r="D85" i="2"/>
  <c r="D86" i="2"/>
  <c r="D87" i="2"/>
  <c r="D80" i="2"/>
  <c r="D79" i="2"/>
  <c r="E66" i="2"/>
  <c r="F66" i="2"/>
  <c r="G66" i="2"/>
  <c r="H66" i="2"/>
  <c r="I66" i="2"/>
  <c r="J66" i="2"/>
  <c r="K66" i="2"/>
  <c r="E67" i="2"/>
  <c r="F67" i="2"/>
  <c r="G67" i="2"/>
  <c r="H67" i="2"/>
  <c r="I67" i="2"/>
  <c r="J67" i="2"/>
  <c r="K67" i="2"/>
  <c r="E68" i="2"/>
  <c r="F68" i="2"/>
  <c r="G68" i="2"/>
  <c r="H68" i="2"/>
  <c r="I68" i="2"/>
  <c r="J68" i="2"/>
  <c r="K68" i="2"/>
  <c r="E69" i="2"/>
  <c r="F69" i="2"/>
  <c r="G69" i="2"/>
  <c r="H69" i="2"/>
  <c r="I69" i="2"/>
  <c r="J69" i="2"/>
  <c r="K69" i="2"/>
  <c r="E70" i="2"/>
  <c r="F70" i="2"/>
  <c r="G70" i="2"/>
  <c r="H70" i="2"/>
  <c r="I70" i="2"/>
  <c r="J70" i="2"/>
  <c r="K70" i="2"/>
  <c r="E71" i="2"/>
  <c r="F71" i="2"/>
  <c r="G71" i="2"/>
  <c r="H71" i="2"/>
  <c r="I71" i="2"/>
  <c r="J71" i="2"/>
  <c r="K71" i="2"/>
  <c r="E72" i="2"/>
  <c r="F72" i="2"/>
  <c r="G72" i="2"/>
  <c r="H72" i="2"/>
  <c r="I72" i="2"/>
  <c r="J72" i="2"/>
  <c r="K72" i="2"/>
  <c r="E73" i="2"/>
  <c r="F73" i="2"/>
  <c r="G73" i="2"/>
  <c r="H73" i="2"/>
  <c r="I73" i="2"/>
  <c r="J73" i="2"/>
  <c r="K73" i="2"/>
  <c r="E74" i="2"/>
  <c r="F74" i="2"/>
  <c r="G74" i="2"/>
  <c r="H74" i="2"/>
  <c r="I74" i="2"/>
  <c r="J74" i="2"/>
  <c r="K74" i="2"/>
  <c r="D68" i="2"/>
  <c r="D69" i="2"/>
  <c r="D70" i="2"/>
  <c r="D71" i="2"/>
  <c r="D72" i="2"/>
  <c r="D73" i="2"/>
  <c r="D74" i="2"/>
  <c r="D67" i="2"/>
  <c r="D66" i="2"/>
  <c r="E53" i="2"/>
  <c r="F53" i="2"/>
  <c r="G53" i="2"/>
  <c r="H53" i="2"/>
  <c r="I53" i="2"/>
  <c r="J53" i="2"/>
  <c r="K53" i="2"/>
  <c r="E54" i="2"/>
  <c r="F54" i="2"/>
  <c r="G54" i="2"/>
  <c r="H54" i="2"/>
  <c r="I54" i="2"/>
  <c r="J54" i="2"/>
  <c r="K54" i="2"/>
  <c r="E55" i="2"/>
  <c r="F55" i="2"/>
  <c r="G55" i="2"/>
  <c r="H55" i="2"/>
  <c r="I55" i="2"/>
  <c r="J55" i="2"/>
  <c r="K55" i="2"/>
  <c r="E56" i="2"/>
  <c r="F56" i="2"/>
  <c r="G56" i="2"/>
  <c r="H56" i="2"/>
  <c r="I56" i="2"/>
  <c r="J56" i="2"/>
  <c r="K56" i="2"/>
  <c r="E57" i="2"/>
  <c r="F57" i="2"/>
  <c r="G57" i="2"/>
  <c r="H57" i="2"/>
  <c r="I57" i="2"/>
  <c r="J57" i="2"/>
  <c r="K57" i="2"/>
  <c r="E58" i="2"/>
  <c r="F58" i="2"/>
  <c r="G58" i="2"/>
  <c r="H58" i="2"/>
  <c r="I58" i="2"/>
  <c r="J58" i="2"/>
  <c r="K58" i="2"/>
  <c r="E59" i="2"/>
  <c r="F59" i="2"/>
  <c r="G59" i="2"/>
  <c r="H59" i="2"/>
  <c r="I59" i="2"/>
  <c r="J59" i="2"/>
  <c r="K59" i="2"/>
  <c r="E60" i="2"/>
  <c r="F60" i="2"/>
  <c r="G60" i="2"/>
  <c r="H60" i="2"/>
  <c r="I60" i="2"/>
  <c r="J60" i="2"/>
  <c r="K60" i="2"/>
  <c r="E61" i="2"/>
  <c r="F61" i="2"/>
  <c r="G61" i="2"/>
  <c r="H61" i="2"/>
  <c r="I61" i="2"/>
  <c r="J61" i="2"/>
  <c r="K61" i="2"/>
  <c r="D55" i="2"/>
  <c r="D56" i="2"/>
  <c r="D57" i="2"/>
  <c r="D58" i="2"/>
  <c r="D59" i="2"/>
  <c r="D60" i="2"/>
  <c r="D61" i="2"/>
  <c r="D54" i="2"/>
  <c r="D53" i="2"/>
  <c r="E40" i="2"/>
  <c r="F40" i="2"/>
  <c r="G40" i="2"/>
  <c r="H40" i="2"/>
  <c r="I40" i="2"/>
  <c r="J40" i="2"/>
  <c r="K40" i="2"/>
  <c r="E41" i="2"/>
  <c r="F41" i="2"/>
  <c r="G41" i="2"/>
  <c r="H41" i="2"/>
  <c r="I41" i="2"/>
  <c r="J41" i="2"/>
  <c r="K41" i="2"/>
  <c r="E42" i="2"/>
  <c r="F42" i="2"/>
  <c r="G42" i="2"/>
  <c r="H42" i="2"/>
  <c r="I42" i="2"/>
  <c r="J42" i="2"/>
  <c r="K42" i="2"/>
  <c r="E43" i="2"/>
  <c r="F43" i="2"/>
  <c r="G43" i="2"/>
  <c r="H43" i="2"/>
  <c r="I43" i="2"/>
  <c r="J43" i="2"/>
  <c r="K43" i="2"/>
  <c r="E44" i="2"/>
  <c r="F44" i="2"/>
  <c r="G44" i="2"/>
  <c r="H44" i="2"/>
  <c r="I44" i="2"/>
  <c r="J44" i="2"/>
  <c r="K44" i="2"/>
  <c r="E45" i="2"/>
  <c r="F45" i="2"/>
  <c r="G45" i="2"/>
  <c r="H45" i="2"/>
  <c r="I45" i="2"/>
  <c r="J45" i="2"/>
  <c r="K45" i="2"/>
  <c r="E46" i="2"/>
  <c r="F46" i="2"/>
  <c r="G46" i="2"/>
  <c r="H46" i="2"/>
  <c r="I46" i="2"/>
  <c r="J46" i="2"/>
  <c r="K46" i="2"/>
  <c r="E47" i="2"/>
  <c r="F47" i="2"/>
  <c r="G47" i="2"/>
  <c r="H47" i="2"/>
  <c r="I47" i="2"/>
  <c r="J47" i="2"/>
  <c r="K47" i="2"/>
  <c r="E48" i="2"/>
  <c r="F48" i="2"/>
  <c r="G48" i="2"/>
  <c r="H48" i="2"/>
  <c r="I48" i="2"/>
  <c r="J48" i="2"/>
  <c r="K48" i="2"/>
  <c r="D48" i="2"/>
  <c r="D42" i="2"/>
  <c r="D43" i="2"/>
  <c r="D44" i="2"/>
  <c r="D45" i="2"/>
  <c r="D46" i="2"/>
  <c r="D47" i="2"/>
  <c r="D41" i="2"/>
  <c r="D40" i="2"/>
  <c r="E27" i="2"/>
  <c r="F27" i="2"/>
  <c r="G27" i="2"/>
  <c r="H27" i="2"/>
  <c r="I27" i="2"/>
  <c r="J27" i="2"/>
  <c r="K27" i="2"/>
  <c r="E28" i="2"/>
  <c r="F28" i="2"/>
  <c r="G28" i="2"/>
  <c r="H28" i="2"/>
  <c r="I28" i="2"/>
  <c r="J28" i="2"/>
  <c r="K28" i="2"/>
  <c r="E29" i="2"/>
  <c r="F29" i="2"/>
  <c r="G29" i="2"/>
  <c r="H29" i="2"/>
  <c r="I29" i="2"/>
  <c r="J29" i="2"/>
  <c r="K29" i="2"/>
  <c r="E30" i="2"/>
  <c r="F30" i="2"/>
  <c r="G30" i="2"/>
  <c r="H30" i="2"/>
  <c r="I30" i="2"/>
  <c r="J30" i="2"/>
  <c r="K30" i="2"/>
  <c r="E31" i="2"/>
  <c r="F31" i="2"/>
  <c r="G31" i="2"/>
  <c r="H31" i="2"/>
  <c r="I31" i="2"/>
  <c r="J31" i="2"/>
  <c r="K31" i="2"/>
  <c r="E32" i="2"/>
  <c r="F32" i="2"/>
  <c r="G32" i="2"/>
  <c r="H32" i="2"/>
  <c r="I32" i="2"/>
  <c r="J32" i="2"/>
  <c r="K32" i="2"/>
  <c r="E33" i="2"/>
  <c r="F33" i="2"/>
  <c r="G33" i="2"/>
  <c r="H33" i="2"/>
  <c r="I33" i="2"/>
  <c r="J33" i="2"/>
  <c r="K33" i="2"/>
  <c r="E34" i="2"/>
  <c r="F34" i="2"/>
  <c r="G34" i="2"/>
  <c r="H34" i="2"/>
  <c r="I34" i="2"/>
  <c r="J34" i="2"/>
  <c r="K34" i="2"/>
  <c r="E35" i="2"/>
  <c r="F35" i="2"/>
  <c r="G35" i="2"/>
  <c r="H35" i="2"/>
  <c r="I35" i="2"/>
  <c r="J35" i="2"/>
  <c r="K35" i="2"/>
  <c r="D29" i="2"/>
  <c r="D30" i="2"/>
  <c r="D31" i="2"/>
  <c r="D32" i="2"/>
  <c r="D33" i="2"/>
  <c r="D34" i="2"/>
  <c r="D35" i="2"/>
  <c r="D28" i="2"/>
  <c r="D27" i="2"/>
  <c r="E15" i="2"/>
  <c r="F15" i="2"/>
  <c r="G15" i="2"/>
  <c r="H15" i="2"/>
  <c r="I15" i="2"/>
  <c r="J15" i="2"/>
  <c r="K15" i="2"/>
  <c r="E16" i="2"/>
  <c r="F16" i="2"/>
  <c r="G16" i="2"/>
  <c r="H16" i="2"/>
  <c r="I16" i="2"/>
  <c r="J16" i="2"/>
  <c r="K16" i="2"/>
  <c r="E17" i="2"/>
  <c r="F17" i="2"/>
  <c r="G17" i="2"/>
  <c r="H17" i="2"/>
  <c r="I17" i="2"/>
  <c r="J17" i="2"/>
  <c r="K17" i="2"/>
  <c r="E18" i="2"/>
  <c r="F18" i="2"/>
  <c r="G18" i="2"/>
  <c r="H18" i="2"/>
  <c r="I18" i="2"/>
  <c r="J18" i="2"/>
  <c r="K18" i="2"/>
  <c r="E19" i="2"/>
  <c r="F19" i="2"/>
  <c r="G19" i="2"/>
  <c r="H19" i="2"/>
  <c r="I19" i="2"/>
  <c r="J19" i="2"/>
  <c r="K19" i="2"/>
  <c r="E20" i="2"/>
  <c r="F20" i="2"/>
  <c r="G20" i="2"/>
  <c r="H20" i="2"/>
  <c r="I20" i="2"/>
  <c r="J20" i="2"/>
  <c r="K20" i="2"/>
  <c r="E21" i="2"/>
  <c r="F21" i="2"/>
  <c r="G21" i="2"/>
  <c r="H21" i="2"/>
  <c r="I21" i="2"/>
  <c r="J21" i="2"/>
  <c r="K21" i="2"/>
  <c r="E22" i="2"/>
  <c r="F22" i="2"/>
  <c r="G22" i="2"/>
  <c r="H22" i="2"/>
  <c r="I22" i="2"/>
  <c r="J22" i="2"/>
  <c r="K22" i="2"/>
  <c r="E23" i="2"/>
  <c r="F23" i="2"/>
  <c r="G23" i="2"/>
  <c r="H23" i="2"/>
  <c r="I23" i="2"/>
  <c r="J23" i="2"/>
  <c r="K23" i="2"/>
  <c r="D17" i="2"/>
  <c r="D18" i="2"/>
  <c r="D19" i="2"/>
  <c r="D20" i="2"/>
  <c r="D21" i="2"/>
  <c r="D22" i="2"/>
  <c r="D23" i="2"/>
  <c r="D16" i="2"/>
  <c r="D15" i="2"/>
  <c r="E3" i="2"/>
  <c r="F3" i="2"/>
  <c r="G3" i="2"/>
  <c r="H3" i="2"/>
  <c r="I3" i="2"/>
  <c r="J3" i="2"/>
  <c r="K3" i="2"/>
  <c r="E4" i="2"/>
  <c r="F4" i="2"/>
  <c r="G4" i="2"/>
  <c r="H4" i="2"/>
  <c r="I4" i="2"/>
  <c r="J4" i="2"/>
  <c r="K4" i="2"/>
  <c r="E5" i="2"/>
  <c r="F5" i="2"/>
  <c r="G5" i="2"/>
  <c r="H5" i="2"/>
  <c r="I5" i="2"/>
  <c r="J5" i="2"/>
  <c r="K5" i="2"/>
  <c r="E6" i="2"/>
  <c r="F6" i="2"/>
  <c r="G6" i="2"/>
  <c r="H6" i="2"/>
  <c r="I6" i="2"/>
  <c r="J6" i="2"/>
  <c r="K6" i="2"/>
  <c r="E7" i="2"/>
  <c r="F7" i="2"/>
  <c r="G7" i="2"/>
  <c r="H7" i="2"/>
  <c r="I7" i="2"/>
  <c r="J7" i="2"/>
  <c r="K7" i="2"/>
  <c r="E8" i="2"/>
  <c r="F8" i="2"/>
  <c r="G8" i="2"/>
  <c r="H8" i="2"/>
  <c r="I8" i="2"/>
  <c r="J8" i="2"/>
  <c r="K8" i="2"/>
  <c r="E9" i="2"/>
  <c r="F9" i="2"/>
  <c r="G9" i="2"/>
  <c r="H9" i="2"/>
  <c r="I9" i="2"/>
  <c r="J9" i="2"/>
  <c r="K9" i="2"/>
  <c r="E10" i="2"/>
  <c r="F10" i="2"/>
  <c r="G10" i="2"/>
  <c r="H10" i="2"/>
  <c r="I10" i="2"/>
  <c r="J10" i="2"/>
  <c r="K10" i="2"/>
  <c r="E11" i="2"/>
  <c r="F11" i="2"/>
  <c r="G11" i="2"/>
  <c r="H11" i="2"/>
  <c r="I11" i="2"/>
  <c r="J11" i="2"/>
  <c r="K11" i="2"/>
  <c r="D7" i="2"/>
  <c r="D8" i="2"/>
  <c r="D9" i="2"/>
  <c r="D10" i="2"/>
  <c r="D11" i="2"/>
  <c r="D6" i="2"/>
  <c r="D5" i="2"/>
  <c r="D3" i="2"/>
</calcChain>
</file>

<file path=xl/sharedStrings.xml><?xml version="1.0" encoding="utf-8"?>
<sst xmlns="http://schemas.openxmlformats.org/spreadsheetml/2006/main" count="1097" uniqueCount="27">
  <si>
    <t>Averaged over 5 Reps</t>
  </si>
  <si>
    <t>Approach</t>
  </si>
  <si>
    <t>Approach Variable</t>
  </si>
  <si>
    <t>Pearson Coorelation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</si>
  <si>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</si>
  <si>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</si>
  <si>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</si>
  <si>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</si>
  <si>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</si>
  <si>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</si>
  <si>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</si>
  <si>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</si>
  <si>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N/A</t>
  </si>
  <si>
    <t>Threshold</t>
  </si>
  <si>
    <t>False Positive</t>
  </si>
  <si>
    <t>Elevated</t>
  </si>
  <si>
    <t>Background</t>
  </si>
  <si>
    <t>cRT</t>
  </si>
  <si>
    <t>C=violet</t>
  </si>
  <si>
    <t>C=orange</t>
  </si>
  <si>
    <t>C=cyan</t>
  </si>
  <si>
    <t>cRT+AE</t>
  </si>
  <si>
    <t xml:space="preserve"> </t>
  </si>
  <si>
    <t>reg</t>
  </si>
  <si>
    <t>rRT</t>
  </si>
  <si>
    <t>aut</t>
  </si>
  <si>
    <t>Oversampling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</si>
</sst>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164" fontId="0" fillId="0" borderId="0" xfId="0" applyNumberFormat="1"/>
    <xf numFmtId="164" fontId="0" fillId="34" borderId="0" xfId="0" applyNumberFormat="1" applyFill="1"/>
    <xf numFmtId="0" fontId="18" fillId="0" borderId="0" xfId="0" applyFont="1"/>
    <xf numFmtId="0" fontId="18" fillId="34" borderId="0" xfId="0" applyFont="1" applyFill="1"/>
    <xf numFmtId="165" fontId="0" fillId="0" borderId="0" xfId="0" applyNumberFormat="1"/>
    <xf numFmtId="165" fontId="0" fillId="34" borderId="0" xfId="0" applyNumberFormat="1" applyFill="1"/>
    <xf numFmtId="0" fontId="0" fillId="35" borderId="0" xfId="0" applyFill="1"/>
    <xf numFmtId="164" fontId="0" fillId="35" borderId="0" xfId="0" applyNumberFormat="1" applyFill="1"/>
    <xf numFmtId="165" fontId="0" fillId="35" borderId="0" xfId="0" applyNumberFormat="1" applyFill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D3A-8AF5-4AA8-BF31-E725D9AF3E15}">
  <dimension ref="A1:AL254"/>
  <sheetViews>
    <sheetView tabSelected="1" zoomScale="115" zoomScaleNormal="115" workbookViewId="0">
      <selection activeCell="F22" sqref="F22"/>
    </sheetView>
  </sheetViews>
  <sheetFormatPr defaultRowHeight="15" x14ac:dyDescent="0.25"/>
  <cols>
    <col min="2" max="2" width="17.5703125" bestFit="1" customWidth="1"/>
    <col min="4" max="5" width="20.28515625" bestFit="1" customWidth="1"/>
    <col min="8" max="8" width="20.28515625" bestFit="1" customWidth="1"/>
    <col min="9" max="9" width="9.140625" style="5"/>
    <col min="16" max="16" width="17.5703125" bestFit="1" customWidth="1"/>
    <col min="23" max="23" width="9.140625" style="5"/>
  </cols>
  <sheetData>
    <row r="1" spans="1:38" x14ac:dyDescent="0.25">
      <c r="D1" t="s">
        <v>0</v>
      </c>
      <c r="E1" t="s">
        <v>0</v>
      </c>
      <c r="F1" t="s">
        <v>0</v>
      </c>
      <c r="G1" t="s">
        <v>0</v>
      </c>
      <c r="H1" t="s">
        <v>0</v>
      </c>
      <c r="I1" s="5" t="s">
        <v>0</v>
      </c>
      <c r="J1" t="s">
        <v>0</v>
      </c>
      <c r="K1" t="s">
        <v>0</v>
      </c>
    </row>
    <row r="2" spans="1:38" ht="15.75" customHeight="1" x14ac:dyDescent="0.25">
      <c r="A2" t="s">
        <v>1</v>
      </c>
      <c r="B2" t="s">
        <v>2</v>
      </c>
      <c r="C2" t="s">
        <v>13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5" t="s">
        <v>8</v>
      </c>
      <c r="J2" t="s">
        <v>9</v>
      </c>
      <c r="K2" t="s">
        <v>10</v>
      </c>
    </row>
    <row r="3" spans="1:38" x14ac:dyDescent="0.25">
      <c r="A3" t="s">
        <v>11</v>
      </c>
      <c r="B3" t="s">
        <v>12</v>
      </c>
      <c r="C3">
        <v>0.1</v>
      </c>
      <c r="D3">
        <f t="shared" ref="D3:D11" si="0">AE3</f>
        <v>0.47815000000000002</v>
      </c>
      <c r="E3">
        <f t="shared" ref="E3:E11" si="1">AF3</f>
        <v>0</v>
      </c>
      <c r="F3">
        <f t="shared" ref="F3:F11" si="2">AG3</f>
        <v>5</v>
      </c>
      <c r="G3">
        <f t="shared" ref="G3:G11" si="3">AH3</f>
        <v>0</v>
      </c>
      <c r="H3">
        <f t="shared" ref="H3:H11" si="4">AI3</f>
        <v>681</v>
      </c>
      <c r="I3" s="5">
        <f t="shared" ref="I3:I11" si="5">AJ3</f>
        <v>0</v>
      </c>
      <c r="J3">
        <f t="shared" ref="J3:J11" si="6">AK3</f>
        <v>0</v>
      </c>
      <c r="K3">
        <f t="shared" ref="K3:K11" si="7">AL3</f>
        <v>0</v>
      </c>
      <c r="M3" s="5">
        <f>MAX(I3:I126)</f>
        <v>0.598333</v>
      </c>
      <c r="N3" s="5">
        <f>MAX(W15:W126)</f>
        <v>0.64069299999999996</v>
      </c>
      <c r="O3" s="5"/>
      <c r="AB3" s="3" t="s">
        <v>23</v>
      </c>
      <c r="AC3">
        <v>0</v>
      </c>
      <c r="AD3">
        <v>0.1</v>
      </c>
      <c r="AE3" s="5">
        <v>0.47815000000000002</v>
      </c>
      <c r="AF3" s="14">
        <v>0</v>
      </c>
      <c r="AG3" s="14">
        <v>5</v>
      </c>
      <c r="AH3" s="14">
        <v>0</v>
      </c>
      <c r="AI3" s="14">
        <v>681</v>
      </c>
      <c r="AJ3" s="5">
        <v>0</v>
      </c>
      <c r="AK3" s="5">
        <v>0</v>
      </c>
      <c r="AL3" s="5">
        <v>0</v>
      </c>
    </row>
    <row r="4" spans="1:38" x14ac:dyDescent="0.25">
      <c r="A4" t="s">
        <v>11</v>
      </c>
      <c r="B4" t="s">
        <v>12</v>
      </c>
      <c r="C4">
        <v>0.2</v>
      </c>
      <c r="D4">
        <f t="shared" si="0"/>
        <v>0.47815000000000002</v>
      </c>
      <c r="E4">
        <f t="shared" si="1"/>
        <v>0</v>
      </c>
      <c r="F4">
        <f t="shared" si="2"/>
        <v>5</v>
      </c>
      <c r="G4">
        <f t="shared" si="3"/>
        <v>0</v>
      </c>
      <c r="H4">
        <f t="shared" si="4"/>
        <v>681</v>
      </c>
      <c r="I4" s="5">
        <f t="shared" si="5"/>
        <v>0</v>
      </c>
      <c r="J4">
        <f t="shared" si="6"/>
        <v>0</v>
      </c>
      <c r="K4">
        <f t="shared" si="7"/>
        <v>0</v>
      </c>
      <c r="M4" s="5"/>
      <c r="AB4" t="s">
        <v>23</v>
      </c>
      <c r="AC4">
        <v>0</v>
      </c>
      <c r="AD4">
        <v>0.2</v>
      </c>
      <c r="AE4" s="5">
        <v>0.47815000000000002</v>
      </c>
      <c r="AF4" s="14">
        <v>0</v>
      </c>
      <c r="AG4" s="14">
        <v>5</v>
      </c>
      <c r="AH4" s="14">
        <v>0</v>
      </c>
      <c r="AI4" s="14">
        <v>681</v>
      </c>
      <c r="AJ4" s="5">
        <v>0</v>
      </c>
      <c r="AK4" s="5">
        <v>0</v>
      </c>
      <c r="AL4" s="5">
        <v>0</v>
      </c>
    </row>
    <row r="5" spans="1:38" x14ac:dyDescent="0.25">
      <c r="A5" t="s">
        <v>11</v>
      </c>
      <c r="B5" t="s">
        <v>12</v>
      </c>
      <c r="C5">
        <v>0.3</v>
      </c>
      <c r="D5">
        <f t="shared" si="0"/>
        <v>0.47815000000000002</v>
      </c>
      <c r="E5">
        <f t="shared" si="1"/>
        <v>0</v>
      </c>
      <c r="F5">
        <f t="shared" si="2"/>
        <v>5</v>
      </c>
      <c r="G5">
        <f t="shared" si="3"/>
        <v>0</v>
      </c>
      <c r="H5">
        <f t="shared" si="4"/>
        <v>681</v>
      </c>
      <c r="I5" s="5">
        <f t="shared" si="5"/>
        <v>0</v>
      </c>
      <c r="J5">
        <f t="shared" si="6"/>
        <v>0</v>
      </c>
      <c r="K5">
        <f t="shared" si="7"/>
        <v>0</v>
      </c>
      <c r="M5" s="5">
        <f>MAX(I131:I242)</f>
        <v>0.8</v>
      </c>
      <c r="AB5" t="s">
        <v>23</v>
      </c>
      <c r="AC5">
        <v>0</v>
      </c>
      <c r="AD5">
        <v>0.3</v>
      </c>
      <c r="AE5" s="5">
        <v>0.47815000000000002</v>
      </c>
      <c r="AF5" s="14">
        <v>0</v>
      </c>
      <c r="AG5" s="14">
        <v>5</v>
      </c>
      <c r="AH5" s="14">
        <v>0</v>
      </c>
      <c r="AI5" s="14">
        <v>681</v>
      </c>
      <c r="AJ5" s="5">
        <v>0</v>
      </c>
      <c r="AK5" s="5">
        <v>0</v>
      </c>
      <c r="AL5" s="5">
        <v>0</v>
      </c>
    </row>
    <row r="6" spans="1:38" x14ac:dyDescent="0.25">
      <c r="A6" t="s">
        <v>11</v>
      </c>
      <c r="B6" t="s">
        <v>12</v>
      </c>
      <c r="C6">
        <v>0.4</v>
      </c>
      <c r="D6">
        <f t="shared" si="0"/>
        <v>0.47815000000000002</v>
      </c>
      <c r="E6">
        <f t="shared" si="1"/>
        <v>0</v>
      </c>
      <c r="F6">
        <f t="shared" si="2"/>
        <v>5</v>
      </c>
      <c r="G6">
        <f t="shared" si="3"/>
        <v>0</v>
      </c>
      <c r="H6">
        <f t="shared" si="4"/>
        <v>681</v>
      </c>
      <c r="I6" s="5">
        <f t="shared" si="5"/>
        <v>0</v>
      </c>
      <c r="J6">
        <f t="shared" si="6"/>
        <v>0</v>
      </c>
      <c r="K6">
        <f t="shared" si="7"/>
        <v>0</v>
      </c>
      <c r="M6" s="5"/>
      <c r="AB6" t="s">
        <v>23</v>
      </c>
      <c r="AC6">
        <v>0</v>
      </c>
      <c r="AD6">
        <v>0.4</v>
      </c>
      <c r="AE6" s="5">
        <v>0.47815000000000002</v>
      </c>
      <c r="AF6" s="14">
        <v>0</v>
      </c>
      <c r="AG6" s="14">
        <v>5</v>
      </c>
      <c r="AH6" s="14">
        <v>0</v>
      </c>
      <c r="AI6" s="14">
        <v>681</v>
      </c>
      <c r="AJ6" s="5">
        <v>0</v>
      </c>
      <c r="AK6" s="5">
        <v>0</v>
      </c>
      <c r="AL6" s="5">
        <v>0</v>
      </c>
    </row>
    <row r="7" spans="1:38" x14ac:dyDescent="0.25">
      <c r="A7" s="4" t="s">
        <v>11</v>
      </c>
      <c r="B7" s="4" t="s">
        <v>12</v>
      </c>
      <c r="C7" s="4">
        <v>0.5</v>
      </c>
      <c r="D7" s="4">
        <f t="shared" si="0"/>
        <v>0.47815000000000002</v>
      </c>
      <c r="E7" s="4">
        <f t="shared" si="1"/>
        <v>0</v>
      </c>
      <c r="F7" s="4">
        <f t="shared" si="2"/>
        <v>5</v>
      </c>
      <c r="G7" s="4">
        <f t="shared" si="3"/>
        <v>0</v>
      </c>
      <c r="H7" s="4">
        <f t="shared" si="4"/>
        <v>681</v>
      </c>
      <c r="I7" s="6">
        <f t="shared" si="5"/>
        <v>0</v>
      </c>
      <c r="J7" s="4">
        <f t="shared" si="6"/>
        <v>0</v>
      </c>
      <c r="K7" s="4">
        <f t="shared" si="7"/>
        <v>0</v>
      </c>
      <c r="M7" s="5"/>
      <c r="N7" s="5"/>
      <c r="AB7" t="s">
        <v>23</v>
      </c>
      <c r="AC7">
        <v>0</v>
      </c>
      <c r="AD7">
        <v>0.5</v>
      </c>
      <c r="AE7" s="5">
        <v>0.47815000000000002</v>
      </c>
      <c r="AF7" s="14">
        <v>0</v>
      </c>
      <c r="AG7" s="14">
        <v>5</v>
      </c>
      <c r="AH7" s="14">
        <v>0</v>
      </c>
      <c r="AI7" s="14">
        <v>681</v>
      </c>
      <c r="AJ7" s="5">
        <v>0</v>
      </c>
      <c r="AK7" s="5">
        <v>0</v>
      </c>
      <c r="AL7" s="5">
        <v>0</v>
      </c>
    </row>
    <row r="8" spans="1:38" x14ac:dyDescent="0.25">
      <c r="A8" t="s">
        <v>11</v>
      </c>
      <c r="B8" t="s">
        <v>12</v>
      </c>
      <c r="C8">
        <v>0.6</v>
      </c>
      <c r="D8">
        <f t="shared" si="0"/>
        <v>0.47815000000000002</v>
      </c>
      <c r="E8">
        <f t="shared" si="1"/>
        <v>0</v>
      </c>
      <c r="F8">
        <f t="shared" si="2"/>
        <v>5</v>
      </c>
      <c r="G8">
        <f t="shared" si="3"/>
        <v>0</v>
      </c>
      <c r="H8">
        <f t="shared" si="4"/>
        <v>681</v>
      </c>
      <c r="I8" s="5">
        <f t="shared" si="5"/>
        <v>0</v>
      </c>
      <c r="J8">
        <f t="shared" si="6"/>
        <v>0</v>
      </c>
      <c r="K8">
        <f t="shared" si="7"/>
        <v>0</v>
      </c>
      <c r="AB8" t="s">
        <v>23</v>
      </c>
      <c r="AC8">
        <v>0</v>
      </c>
      <c r="AD8">
        <v>0.6</v>
      </c>
      <c r="AE8" s="5">
        <v>0.47815000000000002</v>
      </c>
      <c r="AF8" s="14">
        <v>0</v>
      </c>
      <c r="AG8" s="14">
        <v>5</v>
      </c>
      <c r="AH8" s="14">
        <v>0</v>
      </c>
      <c r="AI8" s="14">
        <v>681</v>
      </c>
      <c r="AJ8" s="5">
        <v>0</v>
      </c>
      <c r="AK8" s="5">
        <v>0</v>
      </c>
      <c r="AL8" s="5">
        <v>0</v>
      </c>
    </row>
    <row r="9" spans="1:38" x14ac:dyDescent="0.25">
      <c r="A9" t="s">
        <v>11</v>
      </c>
      <c r="B9" t="s">
        <v>12</v>
      </c>
      <c r="C9">
        <v>0.7</v>
      </c>
      <c r="D9">
        <f t="shared" si="0"/>
        <v>0.47815000000000002</v>
      </c>
      <c r="E9">
        <f t="shared" si="1"/>
        <v>0</v>
      </c>
      <c r="F9">
        <f t="shared" si="2"/>
        <v>5</v>
      </c>
      <c r="G9">
        <f t="shared" si="3"/>
        <v>0</v>
      </c>
      <c r="H9">
        <f t="shared" si="4"/>
        <v>681</v>
      </c>
      <c r="I9" s="5">
        <f t="shared" si="5"/>
        <v>0</v>
      </c>
      <c r="J9">
        <f t="shared" si="6"/>
        <v>0</v>
      </c>
      <c r="K9">
        <f t="shared" si="7"/>
        <v>0</v>
      </c>
      <c r="M9" s="5"/>
      <c r="AB9" t="s">
        <v>23</v>
      </c>
      <c r="AC9">
        <v>0</v>
      </c>
      <c r="AD9">
        <v>0.7</v>
      </c>
      <c r="AE9" s="5">
        <v>0.47815000000000002</v>
      </c>
      <c r="AF9" s="14">
        <v>0</v>
      </c>
      <c r="AG9" s="14">
        <v>5</v>
      </c>
      <c r="AH9" s="14">
        <v>0</v>
      </c>
      <c r="AI9" s="14">
        <v>681</v>
      </c>
      <c r="AJ9" s="5">
        <v>0</v>
      </c>
      <c r="AK9" s="5">
        <v>0</v>
      </c>
      <c r="AL9" s="5">
        <v>0</v>
      </c>
    </row>
    <row r="10" spans="1:38" x14ac:dyDescent="0.25">
      <c r="A10" t="s">
        <v>11</v>
      </c>
      <c r="B10" t="s">
        <v>12</v>
      </c>
      <c r="C10">
        <v>0.8</v>
      </c>
      <c r="D10">
        <f t="shared" si="0"/>
        <v>0.47815000000000002</v>
      </c>
      <c r="E10">
        <f t="shared" si="1"/>
        <v>0</v>
      </c>
      <c r="F10">
        <f t="shared" si="2"/>
        <v>5</v>
      </c>
      <c r="G10">
        <f t="shared" si="3"/>
        <v>0</v>
      </c>
      <c r="H10">
        <f t="shared" si="4"/>
        <v>681</v>
      </c>
      <c r="I10" s="5">
        <f t="shared" si="5"/>
        <v>0</v>
      </c>
      <c r="J10">
        <f t="shared" si="6"/>
        <v>0</v>
      </c>
      <c r="K10">
        <f t="shared" si="7"/>
        <v>0</v>
      </c>
      <c r="V10" s="5"/>
      <c r="AB10" t="s">
        <v>23</v>
      </c>
      <c r="AC10">
        <v>0</v>
      </c>
      <c r="AD10">
        <v>0.8</v>
      </c>
      <c r="AE10" s="5">
        <v>0.47815000000000002</v>
      </c>
      <c r="AF10" s="14">
        <v>0</v>
      </c>
      <c r="AG10" s="14">
        <v>5</v>
      </c>
      <c r="AH10" s="14">
        <v>0</v>
      </c>
      <c r="AI10" s="14">
        <v>681</v>
      </c>
      <c r="AJ10" s="5">
        <v>0</v>
      </c>
      <c r="AK10" s="5">
        <v>0</v>
      </c>
      <c r="AL10" s="5">
        <v>0</v>
      </c>
    </row>
    <row r="11" spans="1:38" x14ac:dyDescent="0.25">
      <c r="A11" t="s">
        <v>11</v>
      </c>
      <c r="B11" t="s">
        <v>12</v>
      </c>
      <c r="C11">
        <v>0.9</v>
      </c>
      <c r="D11">
        <f t="shared" si="0"/>
        <v>0.47815000000000002</v>
      </c>
      <c r="E11">
        <f t="shared" si="1"/>
        <v>0</v>
      </c>
      <c r="F11">
        <f t="shared" si="2"/>
        <v>5</v>
      </c>
      <c r="G11">
        <f t="shared" si="3"/>
        <v>0</v>
      </c>
      <c r="H11">
        <f t="shared" si="4"/>
        <v>681</v>
      </c>
      <c r="I11" s="5">
        <f t="shared" si="5"/>
        <v>0</v>
      </c>
      <c r="J11">
        <f t="shared" si="6"/>
        <v>0</v>
      </c>
      <c r="K11">
        <f t="shared" si="7"/>
        <v>0</v>
      </c>
      <c r="AB11" t="s">
        <v>23</v>
      </c>
      <c r="AC11">
        <v>0</v>
      </c>
      <c r="AD11">
        <v>0.9</v>
      </c>
      <c r="AE11" s="5">
        <v>0.47815000000000002</v>
      </c>
      <c r="AF11" s="14">
        <v>0</v>
      </c>
      <c r="AG11" s="14">
        <v>5</v>
      </c>
      <c r="AH11" s="14">
        <v>0</v>
      </c>
      <c r="AI11" s="14">
        <v>681</v>
      </c>
      <c r="AJ11" s="5">
        <v>0</v>
      </c>
      <c r="AK11" s="5">
        <v>0</v>
      </c>
      <c r="AL11" s="5">
        <v>0</v>
      </c>
    </row>
    <row r="12" spans="1:38" x14ac:dyDescent="0.25">
      <c r="M12" s="5"/>
      <c r="V12" s="5"/>
      <c r="AB12" t="s">
        <v>23</v>
      </c>
      <c r="AC12">
        <v>10</v>
      </c>
      <c r="AD12">
        <v>0.1</v>
      </c>
      <c r="AE12" s="5">
        <v>0.48240699999999997</v>
      </c>
      <c r="AF12" s="14">
        <v>25</v>
      </c>
      <c r="AG12" s="14">
        <v>0</v>
      </c>
      <c r="AH12" s="14">
        <v>5</v>
      </c>
      <c r="AI12" s="14">
        <v>656</v>
      </c>
      <c r="AJ12" s="5">
        <v>0.29117500000000002</v>
      </c>
      <c r="AK12" s="5">
        <v>0.282225</v>
      </c>
      <c r="AL12" s="5">
        <v>0.96328899999999995</v>
      </c>
    </row>
    <row r="13" spans="1:38" x14ac:dyDescent="0.25">
      <c r="D13" t="s">
        <v>0</v>
      </c>
      <c r="E13" s="7" t="s">
        <v>0</v>
      </c>
      <c r="F13" s="7" t="s">
        <v>0</v>
      </c>
      <c r="G13" t="s">
        <v>0</v>
      </c>
      <c r="H13" t="s">
        <v>0</v>
      </c>
      <c r="I13" s="5" t="s">
        <v>0</v>
      </c>
      <c r="J13" t="s">
        <v>0</v>
      </c>
      <c r="K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s="5" t="s">
        <v>0</v>
      </c>
      <c r="X13" t="s">
        <v>0</v>
      </c>
      <c r="Y13" t="s">
        <v>0</v>
      </c>
      <c r="AB13" t="s">
        <v>23</v>
      </c>
      <c r="AC13">
        <v>10</v>
      </c>
      <c r="AD13">
        <v>0.2</v>
      </c>
      <c r="AE13" s="5">
        <v>0.48240699999999997</v>
      </c>
      <c r="AF13" s="14">
        <v>7.2</v>
      </c>
      <c r="AG13" s="14">
        <v>2.2000000000000002</v>
      </c>
      <c r="AH13" s="14">
        <v>2.8</v>
      </c>
      <c r="AI13" s="14">
        <v>673.8</v>
      </c>
      <c r="AJ13" s="5">
        <v>0.30896600000000002</v>
      </c>
      <c r="AK13" s="5">
        <v>0.30516900000000002</v>
      </c>
      <c r="AL13" s="5">
        <v>0.54972100000000002</v>
      </c>
    </row>
    <row r="14" spans="1:38" x14ac:dyDescent="0.25">
      <c r="A14" t="s">
        <v>1</v>
      </c>
      <c r="B14" t="s">
        <v>2</v>
      </c>
      <c r="C14" t="s">
        <v>13</v>
      </c>
      <c r="D14" t="s">
        <v>3</v>
      </c>
      <c r="E14" s="7" t="s">
        <v>4</v>
      </c>
      <c r="F14" s="7" t="s">
        <v>5</v>
      </c>
      <c r="G14" t="s">
        <v>6</v>
      </c>
      <c r="H14" t="s">
        <v>7</v>
      </c>
      <c r="I14" s="5" t="s">
        <v>8</v>
      </c>
      <c r="J14" t="s">
        <v>9</v>
      </c>
      <c r="K14" t="s">
        <v>10</v>
      </c>
      <c r="O14" t="s">
        <v>1</v>
      </c>
      <c r="P14" t="s">
        <v>2</v>
      </c>
      <c r="Q14" t="s">
        <v>13</v>
      </c>
      <c r="R14" t="s">
        <v>3</v>
      </c>
      <c r="S14" t="s">
        <v>4</v>
      </c>
      <c r="T14" t="s">
        <v>5</v>
      </c>
      <c r="U14" t="s">
        <v>6</v>
      </c>
      <c r="V14" t="s">
        <v>7</v>
      </c>
      <c r="W14" s="5" t="s">
        <v>8</v>
      </c>
      <c r="X14" t="s">
        <v>9</v>
      </c>
      <c r="Y14" t="s">
        <v>10</v>
      </c>
      <c r="AB14" t="s">
        <v>23</v>
      </c>
      <c r="AC14">
        <v>10</v>
      </c>
      <c r="AD14">
        <v>0.3</v>
      </c>
      <c r="AE14" s="5">
        <v>0.48240699999999997</v>
      </c>
      <c r="AF14" s="14">
        <v>2.8</v>
      </c>
      <c r="AG14" s="14">
        <v>3</v>
      </c>
      <c r="AH14" s="14">
        <v>2</v>
      </c>
      <c r="AI14" s="14">
        <v>678.2</v>
      </c>
      <c r="AJ14" s="5">
        <v>0.23611099999999999</v>
      </c>
      <c r="AK14" s="5">
        <v>0.234406</v>
      </c>
      <c r="AL14" s="5">
        <v>0.39588800000000002</v>
      </c>
    </row>
    <row r="15" spans="1:38" x14ac:dyDescent="0.25">
      <c r="A15" t="s">
        <v>11</v>
      </c>
      <c r="B15">
        <v>10</v>
      </c>
      <c r="C15">
        <v>0.1</v>
      </c>
      <c r="D15">
        <f t="shared" ref="D15:D23" si="8">AE12</f>
        <v>0.48240699999999997</v>
      </c>
      <c r="E15" s="7">
        <f t="shared" ref="E15:E23" si="9">AF12</f>
        <v>25</v>
      </c>
      <c r="F15" s="7">
        <f t="shared" ref="F15:F23" si="10">AG12</f>
        <v>0</v>
      </c>
      <c r="G15">
        <f t="shared" ref="G15:G23" si="11">AH12</f>
        <v>5</v>
      </c>
      <c r="H15">
        <f t="shared" ref="H15:H23" si="12">AI12</f>
        <v>656</v>
      </c>
      <c r="I15" s="5">
        <f t="shared" ref="I15:I23" si="13">AJ12</f>
        <v>0.29117500000000002</v>
      </c>
      <c r="J15">
        <f t="shared" ref="J15:J23" si="14">AK12</f>
        <v>0.282225</v>
      </c>
      <c r="K15">
        <f t="shared" ref="K15:K23" si="15">AL12</f>
        <v>0.96328899999999995</v>
      </c>
      <c r="O15" t="s">
        <v>17</v>
      </c>
      <c r="P15">
        <v>10</v>
      </c>
      <c r="Q15">
        <v>0.1</v>
      </c>
      <c r="R15">
        <f t="shared" ref="R15:R23" si="16">AE93</f>
        <v>0.51778599999999997</v>
      </c>
      <c r="S15">
        <f t="shared" ref="S15:S23" si="17">AF93</f>
        <v>20.2</v>
      </c>
      <c r="T15">
        <f t="shared" ref="T15:T23" si="18">AG93</f>
        <v>0</v>
      </c>
      <c r="U15">
        <f t="shared" ref="U15:U23" si="19">AH93</f>
        <v>5</v>
      </c>
      <c r="V15">
        <f t="shared" ref="V15:V23" si="20">AI93</f>
        <v>660.8</v>
      </c>
      <c r="W15" s="5">
        <f t="shared" ref="W15:W23" si="21">AJ93</f>
        <v>0.33164399999999999</v>
      </c>
      <c r="X15">
        <f t="shared" ref="X15:X23" si="22">AK93</f>
        <v>0.32341500000000001</v>
      </c>
      <c r="Y15">
        <f t="shared" ref="Y15:Y23" si="23">AL93</f>
        <v>0.97033800000000003</v>
      </c>
      <c r="AB15" t="s">
        <v>23</v>
      </c>
      <c r="AC15">
        <v>10</v>
      </c>
      <c r="AD15">
        <v>0.4</v>
      </c>
      <c r="AE15" s="5">
        <v>0.48240699999999997</v>
      </c>
      <c r="AF15" s="14">
        <v>1.2</v>
      </c>
      <c r="AG15" s="14">
        <v>3.8</v>
      </c>
      <c r="AH15" s="14">
        <v>1.2</v>
      </c>
      <c r="AI15" s="14">
        <v>679.8</v>
      </c>
      <c r="AJ15" s="5">
        <v>0.19047600000000001</v>
      </c>
      <c r="AK15" s="5">
        <v>0.189224</v>
      </c>
      <c r="AL15" s="5">
        <v>0.23823800000000001</v>
      </c>
    </row>
    <row r="16" spans="1:38" x14ac:dyDescent="0.25">
      <c r="A16" t="s">
        <v>11</v>
      </c>
      <c r="B16">
        <v>10</v>
      </c>
      <c r="C16">
        <v>0.2</v>
      </c>
      <c r="D16">
        <f t="shared" si="8"/>
        <v>0.48240699999999997</v>
      </c>
      <c r="E16" s="7">
        <f t="shared" si="9"/>
        <v>7.2</v>
      </c>
      <c r="F16" s="7">
        <f t="shared" si="10"/>
        <v>2.2000000000000002</v>
      </c>
      <c r="G16">
        <f t="shared" si="11"/>
        <v>2.8</v>
      </c>
      <c r="H16">
        <f t="shared" si="12"/>
        <v>673.8</v>
      </c>
      <c r="I16" s="5">
        <f t="shared" si="13"/>
        <v>0.30896600000000002</v>
      </c>
      <c r="J16">
        <f t="shared" si="14"/>
        <v>0.30516900000000002</v>
      </c>
      <c r="K16">
        <f t="shared" si="15"/>
        <v>0.54972100000000002</v>
      </c>
      <c r="O16" t="s">
        <v>17</v>
      </c>
      <c r="P16">
        <v>10</v>
      </c>
      <c r="Q16">
        <v>0.2</v>
      </c>
      <c r="R16">
        <f t="shared" si="16"/>
        <v>0.51778599999999997</v>
      </c>
      <c r="S16">
        <f t="shared" si="17"/>
        <v>11.4</v>
      </c>
      <c r="T16">
        <f t="shared" si="18"/>
        <v>0.2</v>
      </c>
      <c r="U16">
        <f t="shared" si="19"/>
        <v>4.8</v>
      </c>
      <c r="V16">
        <f t="shared" si="20"/>
        <v>669.6</v>
      </c>
      <c r="W16" s="5">
        <f t="shared" si="21"/>
        <v>0.46314699999999998</v>
      </c>
      <c r="X16">
        <f t="shared" si="22"/>
        <v>0.45713100000000001</v>
      </c>
      <c r="Y16">
        <f t="shared" si="23"/>
        <v>0.94325999999999999</v>
      </c>
      <c r="AB16" t="s">
        <v>23</v>
      </c>
      <c r="AC16">
        <v>10</v>
      </c>
      <c r="AD16">
        <v>0.5</v>
      </c>
      <c r="AE16" s="5">
        <v>0.48240699999999997</v>
      </c>
      <c r="AF16" s="14">
        <v>0.4</v>
      </c>
      <c r="AG16" s="14">
        <v>4.4000000000000004</v>
      </c>
      <c r="AH16" s="14">
        <v>0.6</v>
      </c>
      <c r="AI16" s="14">
        <v>680.6</v>
      </c>
      <c r="AJ16" s="5">
        <v>0.12</v>
      </c>
      <c r="AK16" s="5">
        <v>0.11941300000000001</v>
      </c>
      <c r="AL16" s="5">
        <v>0.11941300000000001</v>
      </c>
    </row>
    <row r="17" spans="1:38" x14ac:dyDescent="0.25">
      <c r="A17" t="s">
        <v>11</v>
      </c>
      <c r="B17">
        <v>10</v>
      </c>
      <c r="C17">
        <v>0.3</v>
      </c>
      <c r="D17">
        <f t="shared" si="8"/>
        <v>0.48240699999999997</v>
      </c>
      <c r="E17" s="7">
        <f t="shared" si="9"/>
        <v>2.8</v>
      </c>
      <c r="F17" s="7">
        <f t="shared" si="10"/>
        <v>3</v>
      </c>
      <c r="G17">
        <f t="shared" si="11"/>
        <v>2</v>
      </c>
      <c r="H17">
        <f t="shared" si="12"/>
        <v>678.2</v>
      </c>
      <c r="I17" s="5">
        <f t="shared" si="13"/>
        <v>0.23611099999999999</v>
      </c>
      <c r="J17">
        <f t="shared" si="14"/>
        <v>0.234406</v>
      </c>
      <c r="K17">
        <f t="shared" si="15"/>
        <v>0.39588800000000002</v>
      </c>
      <c r="O17" t="s">
        <v>17</v>
      </c>
      <c r="P17">
        <v>10</v>
      </c>
      <c r="Q17">
        <v>0.3</v>
      </c>
      <c r="R17">
        <f t="shared" si="16"/>
        <v>0.51778599999999997</v>
      </c>
      <c r="S17">
        <f t="shared" si="17"/>
        <v>3.4</v>
      </c>
      <c r="T17">
        <f t="shared" si="18"/>
        <v>2.6</v>
      </c>
      <c r="U17">
        <f t="shared" si="19"/>
        <v>2.4</v>
      </c>
      <c r="V17">
        <f t="shared" si="20"/>
        <v>677.6</v>
      </c>
      <c r="W17" s="5">
        <f t="shared" si="21"/>
        <v>0.32761899999999999</v>
      </c>
      <c r="X17">
        <f t="shared" si="22"/>
        <v>0.32497599999999999</v>
      </c>
      <c r="Y17">
        <f t="shared" si="23"/>
        <v>0.47500700000000001</v>
      </c>
      <c r="AB17" t="s">
        <v>23</v>
      </c>
      <c r="AC17">
        <v>10</v>
      </c>
      <c r="AD17">
        <v>0.6</v>
      </c>
      <c r="AE17" s="5">
        <v>0.48240699999999997</v>
      </c>
      <c r="AF17" s="14">
        <v>0.2</v>
      </c>
      <c r="AG17" s="14">
        <v>4.8</v>
      </c>
      <c r="AH17" s="14">
        <v>0.2</v>
      </c>
      <c r="AI17" s="14">
        <v>680.8</v>
      </c>
      <c r="AJ17" s="5">
        <v>5.7142999999999999E-2</v>
      </c>
      <c r="AK17" s="5">
        <v>5.6544999999999998E-2</v>
      </c>
      <c r="AL17" s="5">
        <v>3.9705999999999998E-2</v>
      </c>
    </row>
    <row r="18" spans="1:38" x14ac:dyDescent="0.25">
      <c r="A18" t="s">
        <v>11</v>
      </c>
      <c r="B18">
        <v>10</v>
      </c>
      <c r="C18">
        <v>0.4</v>
      </c>
      <c r="D18">
        <f t="shared" si="8"/>
        <v>0.48240699999999997</v>
      </c>
      <c r="E18" s="7">
        <f t="shared" si="9"/>
        <v>1.2</v>
      </c>
      <c r="F18" s="7">
        <f t="shared" si="10"/>
        <v>3.8</v>
      </c>
      <c r="G18">
        <f t="shared" si="11"/>
        <v>1.2</v>
      </c>
      <c r="H18">
        <f t="shared" si="12"/>
        <v>679.8</v>
      </c>
      <c r="I18" s="5">
        <f t="shared" si="13"/>
        <v>0.19047600000000001</v>
      </c>
      <c r="J18">
        <f t="shared" si="14"/>
        <v>0.189224</v>
      </c>
      <c r="K18">
        <f t="shared" si="15"/>
        <v>0.23823800000000001</v>
      </c>
      <c r="O18" t="s">
        <v>17</v>
      </c>
      <c r="P18">
        <v>10</v>
      </c>
      <c r="Q18">
        <v>0.4</v>
      </c>
      <c r="R18">
        <f t="shared" si="16"/>
        <v>0.51778599999999997</v>
      </c>
      <c r="S18">
        <f t="shared" si="17"/>
        <v>0</v>
      </c>
      <c r="T18">
        <f t="shared" si="18"/>
        <v>5</v>
      </c>
      <c r="U18">
        <f t="shared" si="19"/>
        <v>0</v>
      </c>
      <c r="V18">
        <f t="shared" si="20"/>
        <v>681</v>
      </c>
      <c r="W18" s="5">
        <f t="shared" si="21"/>
        <v>0</v>
      </c>
      <c r="X18">
        <f t="shared" si="22"/>
        <v>0</v>
      </c>
      <c r="Y18">
        <f t="shared" si="23"/>
        <v>0</v>
      </c>
      <c r="AB18" t="s">
        <v>23</v>
      </c>
      <c r="AC18">
        <v>10</v>
      </c>
      <c r="AD18">
        <v>0.7</v>
      </c>
      <c r="AE18" s="5">
        <v>0.48240699999999997</v>
      </c>
      <c r="AF18" s="14">
        <v>0</v>
      </c>
      <c r="AG18" s="14">
        <v>5</v>
      </c>
      <c r="AH18" s="14">
        <v>0</v>
      </c>
      <c r="AI18" s="14">
        <v>681</v>
      </c>
      <c r="AJ18" s="5">
        <v>0</v>
      </c>
      <c r="AK18" s="5">
        <v>0</v>
      </c>
      <c r="AL18" s="5">
        <v>0</v>
      </c>
    </row>
    <row r="19" spans="1:38" x14ac:dyDescent="0.25">
      <c r="A19" s="4" t="s">
        <v>11</v>
      </c>
      <c r="B19" s="4">
        <v>10</v>
      </c>
      <c r="C19" s="4">
        <v>0.5</v>
      </c>
      <c r="D19" s="4">
        <f t="shared" si="8"/>
        <v>0.48240699999999997</v>
      </c>
      <c r="E19" s="8">
        <f t="shared" si="9"/>
        <v>0.4</v>
      </c>
      <c r="F19" s="8">
        <f t="shared" si="10"/>
        <v>4.4000000000000004</v>
      </c>
      <c r="G19" s="4">
        <f t="shared" si="11"/>
        <v>0.6</v>
      </c>
      <c r="H19" s="4">
        <f t="shared" si="12"/>
        <v>680.6</v>
      </c>
      <c r="I19" s="6">
        <f t="shared" si="13"/>
        <v>0.12</v>
      </c>
      <c r="J19" s="4">
        <f t="shared" si="14"/>
        <v>0.11941300000000001</v>
      </c>
      <c r="K19" s="4">
        <f t="shared" si="15"/>
        <v>0.11941300000000001</v>
      </c>
      <c r="O19" s="4" t="s">
        <v>17</v>
      </c>
      <c r="P19" s="4">
        <v>10</v>
      </c>
      <c r="Q19" s="4">
        <v>0.5</v>
      </c>
      <c r="R19" s="4">
        <f t="shared" si="16"/>
        <v>0.51778599999999997</v>
      </c>
      <c r="S19" s="4">
        <f t="shared" si="17"/>
        <v>0</v>
      </c>
      <c r="T19" s="4">
        <f t="shared" si="18"/>
        <v>5</v>
      </c>
      <c r="U19" s="4">
        <f t="shared" si="19"/>
        <v>0</v>
      </c>
      <c r="V19" s="4">
        <f t="shared" si="20"/>
        <v>681</v>
      </c>
      <c r="W19" s="6">
        <f t="shared" si="21"/>
        <v>0</v>
      </c>
      <c r="X19" s="4">
        <f t="shared" si="22"/>
        <v>0</v>
      </c>
      <c r="Y19" s="4">
        <f t="shared" si="23"/>
        <v>0</v>
      </c>
      <c r="AB19" t="s">
        <v>23</v>
      </c>
      <c r="AC19">
        <v>10</v>
      </c>
      <c r="AD19">
        <v>0.8</v>
      </c>
      <c r="AE19" s="5">
        <v>0.48240699999999997</v>
      </c>
      <c r="AF19" s="14">
        <v>0</v>
      </c>
      <c r="AG19" s="14">
        <v>5</v>
      </c>
      <c r="AH19" s="14">
        <v>0</v>
      </c>
      <c r="AI19" s="14">
        <v>681</v>
      </c>
      <c r="AJ19" s="5">
        <v>0</v>
      </c>
      <c r="AK19" s="5">
        <v>0</v>
      </c>
      <c r="AL19" s="5">
        <v>0</v>
      </c>
    </row>
    <row r="20" spans="1:38" x14ac:dyDescent="0.25">
      <c r="A20" t="s">
        <v>11</v>
      </c>
      <c r="B20">
        <v>10</v>
      </c>
      <c r="C20">
        <v>0.6</v>
      </c>
      <c r="D20">
        <f t="shared" si="8"/>
        <v>0.48240699999999997</v>
      </c>
      <c r="E20" s="7">
        <f t="shared" si="9"/>
        <v>0.2</v>
      </c>
      <c r="F20" s="7">
        <f t="shared" si="10"/>
        <v>4.8</v>
      </c>
      <c r="G20">
        <f t="shared" si="11"/>
        <v>0.2</v>
      </c>
      <c r="H20">
        <f t="shared" si="12"/>
        <v>680.8</v>
      </c>
      <c r="I20" s="5">
        <f t="shared" si="13"/>
        <v>5.7142999999999999E-2</v>
      </c>
      <c r="J20">
        <f t="shared" si="14"/>
        <v>5.6544999999999998E-2</v>
      </c>
      <c r="K20">
        <f t="shared" si="15"/>
        <v>3.9705999999999998E-2</v>
      </c>
      <c r="O20" t="s">
        <v>17</v>
      </c>
      <c r="P20">
        <v>10</v>
      </c>
      <c r="Q20">
        <v>0.6</v>
      </c>
      <c r="R20">
        <f t="shared" si="16"/>
        <v>0.51778599999999997</v>
      </c>
      <c r="S20">
        <f t="shared" si="17"/>
        <v>0</v>
      </c>
      <c r="T20">
        <f t="shared" si="18"/>
        <v>5</v>
      </c>
      <c r="U20">
        <f t="shared" si="19"/>
        <v>0</v>
      </c>
      <c r="V20">
        <f t="shared" si="20"/>
        <v>681</v>
      </c>
      <c r="W20" s="5">
        <f t="shared" si="21"/>
        <v>0</v>
      </c>
      <c r="X20">
        <f t="shared" si="22"/>
        <v>0</v>
      </c>
      <c r="Y20">
        <f t="shared" si="23"/>
        <v>0</v>
      </c>
      <c r="AB20" t="s">
        <v>23</v>
      </c>
      <c r="AC20">
        <v>10</v>
      </c>
      <c r="AD20">
        <v>0.9</v>
      </c>
      <c r="AE20" s="5">
        <v>0.48240699999999997</v>
      </c>
      <c r="AF20" s="14">
        <v>0</v>
      </c>
      <c r="AG20" s="14">
        <v>5</v>
      </c>
      <c r="AH20" s="14">
        <v>0</v>
      </c>
      <c r="AI20" s="14">
        <v>681</v>
      </c>
      <c r="AJ20" s="5">
        <v>0</v>
      </c>
      <c r="AK20" s="5">
        <v>0</v>
      </c>
      <c r="AL20" s="5">
        <v>0</v>
      </c>
    </row>
    <row r="21" spans="1:38" x14ac:dyDescent="0.25">
      <c r="A21" t="s">
        <v>11</v>
      </c>
      <c r="B21">
        <v>10</v>
      </c>
      <c r="C21">
        <v>0.7</v>
      </c>
      <c r="D21">
        <f t="shared" si="8"/>
        <v>0.48240699999999997</v>
      </c>
      <c r="E21" s="7">
        <f t="shared" si="9"/>
        <v>0</v>
      </c>
      <c r="F21" s="7">
        <f t="shared" si="10"/>
        <v>5</v>
      </c>
      <c r="G21">
        <f t="shared" si="11"/>
        <v>0</v>
      </c>
      <c r="H21">
        <f t="shared" si="12"/>
        <v>681</v>
      </c>
      <c r="I21" s="5">
        <f t="shared" si="13"/>
        <v>0</v>
      </c>
      <c r="J21">
        <f t="shared" si="14"/>
        <v>0</v>
      </c>
      <c r="K21">
        <f t="shared" si="15"/>
        <v>0</v>
      </c>
      <c r="O21" t="s">
        <v>17</v>
      </c>
      <c r="P21">
        <v>10</v>
      </c>
      <c r="Q21">
        <v>0.7</v>
      </c>
      <c r="R21">
        <f t="shared" si="16"/>
        <v>0.51778599999999997</v>
      </c>
      <c r="S21">
        <f t="shared" si="17"/>
        <v>0</v>
      </c>
      <c r="T21">
        <f t="shared" si="18"/>
        <v>5</v>
      </c>
      <c r="U21">
        <f t="shared" si="19"/>
        <v>0</v>
      </c>
      <c r="V21">
        <f t="shared" si="20"/>
        <v>681</v>
      </c>
      <c r="W21" s="5">
        <f t="shared" si="21"/>
        <v>0</v>
      </c>
      <c r="X21">
        <f t="shared" si="22"/>
        <v>0</v>
      </c>
      <c r="Y21">
        <f t="shared" si="23"/>
        <v>0</v>
      </c>
      <c r="AB21" t="s">
        <v>23</v>
      </c>
      <c r="AC21">
        <v>20</v>
      </c>
      <c r="AD21">
        <v>0.1</v>
      </c>
      <c r="AE21" s="5">
        <v>0.56748200000000004</v>
      </c>
      <c r="AF21" s="14">
        <v>29.4</v>
      </c>
      <c r="AG21" s="14">
        <v>0</v>
      </c>
      <c r="AH21" s="14">
        <v>5</v>
      </c>
      <c r="AI21" s="14">
        <v>651.6</v>
      </c>
      <c r="AJ21" s="5">
        <v>0.25533600000000001</v>
      </c>
      <c r="AK21" s="5">
        <v>0.24574199999999999</v>
      </c>
      <c r="AL21" s="5">
        <v>0.95682800000000001</v>
      </c>
    </row>
    <row r="22" spans="1:38" x14ac:dyDescent="0.25">
      <c r="A22" t="s">
        <v>11</v>
      </c>
      <c r="B22">
        <v>10</v>
      </c>
      <c r="C22">
        <v>0.8</v>
      </c>
      <c r="D22">
        <f t="shared" si="8"/>
        <v>0.48240699999999997</v>
      </c>
      <c r="E22" s="7">
        <f t="shared" si="9"/>
        <v>0</v>
      </c>
      <c r="F22" s="7">
        <f t="shared" si="10"/>
        <v>5</v>
      </c>
      <c r="G22">
        <f t="shared" si="11"/>
        <v>0</v>
      </c>
      <c r="H22">
        <f t="shared" si="12"/>
        <v>681</v>
      </c>
      <c r="I22" s="5">
        <f t="shared" si="13"/>
        <v>0</v>
      </c>
      <c r="J22">
        <f t="shared" si="14"/>
        <v>0</v>
      </c>
      <c r="K22">
        <f t="shared" si="15"/>
        <v>0</v>
      </c>
      <c r="O22" t="s">
        <v>17</v>
      </c>
      <c r="P22">
        <v>10</v>
      </c>
      <c r="Q22">
        <v>0.8</v>
      </c>
      <c r="R22">
        <f t="shared" si="16"/>
        <v>0.51778599999999997</v>
      </c>
      <c r="S22">
        <f t="shared" si="17"/>
        <v>0</v>
      </c>
      <c r="T22">
        <f t="shared" si="18"/>
        <v>5</v>
      </c>
      <c r="U22">
        <f t="shared" si="19"/>
        <v>0</v>
      </c>
      <c r="V22">
        <f t="shared" si="20"/>
        <v>681</v>
      </c>
      <c r="W22" s="5">
        <f t="shared" si="21"/>
        <v>0</v>
      </c>
      <c r="X22">
        <f t="shared" si="22"/>
        <v>0</v>
      </c>
      <c r="Y22">
        <f t="shared" si="23"/>
        <v>0</v>
      </c>
      <c r="AB22" t="s">
        <v>23</v>
      </c>
      <c r="AC22">
        <v>20</v>
      </c>
      <c r="AD22">
        <v>0.2</v>
      </c>
      <c r="AE22" s="5">
        <v>0.56748200000000004</v>
      </c>
      <c r="AF22" s="14">
        <v>18</v>
      </c>
      <c r="AG22" s="14">
        <v>0</v>
      </c>
      <c r="AH22" s="14">
        <v>5</v>
      </c>
      <c r="AI22" s="14">
        <v>663</v>
      </c>
      <c r="AJ22" s="5">
        <v>0.35970600000000003</v>
      </c>
      <c r="AK22" s="5">
        <v>0.35195100000000001</v>
      </c>
      <c r="AL22" s="5">
        <v>0.97356799999999999</v>
      </c>
    </row>
    <row r="23" spans="1:38" x14ac:dyDescent="0.25">
      <c r="A23" t="s">
        <v>11</v>
      </c>
      <c r="B23">
        <v>10</v>
      </c>
      <c r="C23">
        <v>0.9</v>
      </c>
      <c r="D23">
        <f t="shared" si="8"/>
        <v>0.48240699999999997</v>
      </c>
      <c r="E23" s="7">
        <f t="shared" si="9"/>
        <v>0</v>
      </c>
      <c r="F23" s="7">
        <f t="shared" si="10"/>
        <v>5</v>
      </c>
      <c r="G23">
        <f t="shared" si="11"/>
        <v>0</v>
      </c>
      <c r="H23">
        <f t="shared" si="12"/>
        <v>681</v>
      </c>
      <c r="I23" s="5">
        <f t="shared" si="13"/>
        <v>0</v>
      </c>
      <c r="J23">
        <f t="shared" si="14"/>
        <v>0</v>
      </c>
      <c r="K23">
        <f t="shared" si="15"/>
        <v>0</v>
      </c>
      <c r="O23" t="s">
        <v>17</v>
      </c>
      <c r="P23">
        <v>10</v>
      </c>
      <c r="Q23">
        <v>0.9</v>
      </c>
      <c r="R23">
        <f t="shared" si="16"/>
        <v>0.51778599999999997</v>
      </c>
      <c r="S23">
        <f t="shared" si="17"/>
        <v>0</v>
      </c>
      <c r="T23">
        <f t="shared" si="18"/>
        <v>5</v>
      </c>
      <c r="U23">
        <f t="shared" si="19"/>
        <v>0</v>
      </c>
      <c r="V23">
        <f t="shared" si="20"/>
        <v>681</v>
      </c>
      <c r="W23" s="5">
        <f t="shared" si="21"/>
        <v>0</v>
      </c>
      <c r="X23">
        <f t="shared" si="22"/>
        <v>0</v>
      </c>
      <c r="Y23">
        <f t="shared" si="23"/>
        <v>0</v>
      </c>
      <c r="AB23" t="s">
        <v>23</v>
      </c>
      <c r="AC23">
        <v>20</v>
      </c>
      <c r="AD23">
        <v>0.3</v>
      </c>
      <c r="AE23" s="5">
        <v>0.56748200000000004</v>
      </c>
      <c r="AF23" s="14">
        <v>9</v>
      </c>
      <c r="AG23" s="14">
        <v>0</v>
      </c>
      <c r="AH23" s="14">
        <v>5</v>
      </c>
      <c r="AI23" s="14">
        <v>672</v>
      </c>
      <c r="AJ23" s="5">
        <v>0.53208900000000003</v>
      </c>
      <c r="AK23" s="5">
        <v>0.52700800000000003</v>
      </c>
      <c r="AL23" s="5">
        <v>0.98678399999999999</v>
      </c>
    </row>
    <row r="24" spans="1:38" x14ac:dyDescent="0.25">
      <c r="AB24" t="s">
        <v>23</v>
      </c>
      <c r="AC24">
        <v>20</v>
      </c>
      <c r="AD24">
        <v>0.4</v>
      </c>
      <c r="AE24" s="5">
        <v>0.56748200000000004</v>
      </c>
      <c r="AF24" s="14">
        <v>5.8</v>
      </c>
      <c r="AG24" s="14">
        <v>0.4</v>
      </c>
      <c r="AH24" s="14">
        <v>4.5999999999999996</v>
      </c>
      <c r="AI24" s="14">
        <v>675.2</v>
      </c>
      <c r="AJ24" s="5">
        <v>0.598333</v>
      </c>
      <c r="AK24" s="5">
        <v>0.594337</v>
      </c>
      <c r="AL24" s="5">
        <v>0.91148300000000004</v>
      </c>
    </row>
    <row r="25" spans="1:38" x14ac:dyDescent="0.25">
      <c r="D25" t="s">
        <v>0</v>
      </c>
      <c r="E25" t="s">
        <v>0</v>
      </c>
      <c r="F25" t="s">
        <v>0</v>
      </c>
      <c r="G25" t="s">
        <v>0</v>
      </c>
      <c r="H25" t="s">
        <v>0</v>
      </c>
      <c r="I25" s="5" t="s">
        <v>0</v>
      </c>
      <c r="J25" t="s">
        <v>0</v>
      </c>
      <c r="K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s="5" t="s">
        <v>0</v>
      </c>
      <c r="X25" t="s">
        <v>0</v>
      </c>
      <c r="Y25" t="s">
        <v>0</v>
      </c>
      <c r="AB25" t="s">
        <v>23</v>
      </c>
      <c r="AC25">
        <v>20</v>
      </c>
      <c r="AD25">
        <v>0.5</v>
      </c>
      <c r="AE25" s="5">
        <v>0.56748200000000004</v>
      </c>
      <c r="AF25" s="14">
        <v>4.4000000000000004</v>
      </c>
      <c r="AG25" s="14">
        <v>2</v>
      </c>
      <c r="AH25" s="14">
        <v>3</v>
      </c>
      <c r="AI25" s="14">
        <v>676.6</v>
      </c>
      <c r="AJ25" s="5">
        <v>0.48571399999999998</v>
      </c>
      <c r="AK25" s="5">
        <v>0.48120299999999999</v>
      </c>
      <c r="AL25" s="5">
        <v>0.59353900000000004</v>
      </c>
    </row>
    <row r="26" spans="1:38" x14ac:dyDescent="0.25">
      <c r="A26" t="s">
        <v>1</v>
      </c>
      <c r="B26" t="s">
        <v>2</v>
      </c>
      <c r="C26" t="s">
        <v>13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s="5" t="s">
        <v>8</v>
      </c>
      <c r="J26" t="s">
        <v>9</v>
      </c>
      <c r="K26" t="s">
        <v>10</v>
      </c>
      <c r="O26" t="s">
        <v>1</v>
      </c>
      <c r="P26" t="s">
        <v>2</v>
      </c>
      <c r="Q26" t="s">
        <v>13</v>
      </c>
      <c r="R26" t="s">
        <v>3</v>
      </c>
      <c r="S26" t="s">
        <v>4</v>
      </c>
      <c r="T26" t="s">
        <v>5</v>
      </c>
      <c r="U26" t="s">
        <v>6</v>
      </c>
      <c r="V26" t="s">
        <v>7</v>
      </c>
      <c r="W26" s="5" t="s">
        <v>8</v>
      </c>
      <c r="X26" t="s">
        <v>9</v>
      </c>
      <c r="Y26" t="s">
        <v>10</v>
      </c>
      <c r="AB26" t="s">
        <v>23</v>
      </c>
      <c r="AC26">
        <v>20</v>
      </c>
      <c r="AD26">
        <v>0.6</v>
      </c>
      <c r="AE26" s="5">
        <v>0.56748200000000004</v>
      </c>
      <c r="AF26" s="14">
        <v>2.6</v>
      </c>
      <c r="AG26" s="14">
        <v>2.8</v>
      </c>
      <c r="AH26" s="14">
        <v>2.2000000000000002</v>
      </c>
      <c r="AI26" s="14">
        <v>678.4</v>
      </c>
      <c r="AJ26" s="5">
        <v>0.434921</v>
      </c>
      <c r="AK26" s="5">
        <v>0.43115900000000001</v>
      </c>
      <c r="AL26" s="5">
        <v>0.43618200000000001</v>
      </c>
    </row>
    <row r="27" spans="1:38" x14ac:dyDescent="0.25">
      <c r="A27" t="s">
        <v>11</v>
      </c>
      <c r="B27">
        <v>20</v>
      </c>
      <c r="C27">
        <v>0.1</v>
      </c>
      <c r="D27">
        <f t="shared" ref="D27:D35" si="24">AE21</f>
        <v>0.56748200000000004</v>
      </c>
      <c r="E27">
        <f t="shared" ref="E27:E35" si="25">AF21</f>
        <v>29.4</v>
      </c>
      <c r="F27">
        <f t="shared" ref="F27:F35" si="26">AG21</f>
        <v>0</v>
      </c>
      <c r="G27">
        <f t="shared" ref="G27:G35" si="27">AH21</f>
        <v>5</v>
      </c>
      <c r="H27">
        <f t="shared" ref="H27:H35" si="28">AI21</f>
        <v>651.6</v>
      </c>
      <c r="I27" s="5">
        <f t="shared" ref="I27:I35" si="29">AJ21</f>
        <v>0.25533600000000001</v>
      </c>
      <c r="J27">
        <f t="shared" ref="J27:J35" si="30">AK21</f>
        <v>0.24574199999999999</v>
      </c>
      <c r="K27">
        <f t="shared" ref="K27:K35" si="31">AL21</f>
        <v>0.95682800000000001</v>
      </c>
      <c r="O27" t="s">
        <v>17</v>
      </c>
      <c r="P27">
        <v>20</v>
      </c>
      <c r="Q27">
        <v>0.1</v>
      </c>
      <c r="R27">
        <f t="shared" ref="R27:R35" si="32">AE102</f>
        <v>0.49885499999999999</v>
      </c>
      <c r="S27">
        <f t="shared" ref="S27:S35" si="33">AF102</f>
        <v>32.4</v>
      </c>
      <c r="T27">
        <f t="shared" ref="T27:T35" si="34">AG102</f>
        <v>0</v>
      </c>
      <c r="U27">
        <f t="shared" ref="U27:U35" si="35">AH102</f>
        <v>5</v>
      </c>
      <c r="V27">
        <f t="shared" ref="V27:V35" si="36">AI102</f>
        <v>648.6</v>
      </c>
      <c r="W27" s="5">
        <f t="shared" ref="W27:W35" si="37">AJ102</f>
        <v>0.23661399999999999</v>
      </c>
      <c r="X27">
        <f t="shared" ref="X27:X35" si="38">AK102</f>
        <v>0.22667399999999999</v>
      </c>
      <c r="Y27">
        <f t="shared" ref="Y27:Y35" si="39">AL102</f>
        <v>0.95242300000000002</v>
      </c>
      <c r="AB27" t="s">
        <v>23</v>
      </c>
      <c r="AC27">
        <v>20</v>
      </c>
      <c r="AD27">
        <v>0.7</v>
      </c>
      <c r="AE27" s="5">
        <v>0.56748200000000004</v>
      </c>
      <c r="AF27" s="14">
        <v>1.2</v>
      </c>
      <c r="AG27" s="14">
        <v>3.4</v>
      </c>
      <c r="AH27" s="14">
        <v>1.6</v>
      </c>
      <c r="AI27" s="14">
        <v>679.8</v>
      </c>
      <c r="AJ27" s="5">
        <v>0.38</v>
      </c>
      <c r="AK27" s="5">
        <v>0.37747000000000003</v>
      </c>
      <c r="AL27" s="5">
        <v>0.31823800000000002</v>
      </c>
    </row>
    <row r="28" spans="1:38" x14ac:dyDescent="0.25">
      <c r="A28" t="s">
        <v>11</v>
      </c>
      <c r="B28">
        <v>20</v>
      </c>
      <c r="C28">
        <v>0.2</v>
      </c>
      <c r="D28">
        <f t="shared" si="24"/>
        <v>0.56748200000000004</v>
      </c>
      <c r="E28">
        <f t="shared" si="25"/>
        <v>18</v>
      </c>
      <c r="F28">
        <f t="shared" si="26"/>
        <v>0</v>
      </c>
      <c r="G28">
        <f t="shared" si="27"/>
        <v>5</v>
      </c>
      <c r="H28">
        <f t="shared" si="28"/>
        <v>663</v>
      </c>
      <c r="I28" s="5">
        <f t="shared" si="29"/>
        <v>0.35970600000000003</v>
      </c>
      <c r="J28">
        <f t="shared" si="30"/>
        <v>0.35195100000000001</v>
      </c>
      <c r="K28">
        <f t="shared" si="31"/>
        <v>0.97356799999999999</v>
      </c>
      <c r="O28" t="s">
        <v>17</v>
      </c>
      <c r="P28">
        <v>20</v>
      </c>
      <c r="Q28">
        <v>0.2</v>
      </c>
      <c r="R28">
        <f t="shared" si="32"/>
        <v>0.49885499999999999</v>
      </c>
      <c r="S28">
        <f t="shared" si="33"/>
        <v>17.2</v>
      </c>
      <c r="T28">
        <f t="shared" si="34"/>
        <v>0</v>
      </c>
      <c r="U28">
        <f t="shared" si="35"/>
        <v>5</v>
      </c>
      <c r="V28">
        <f t="shared" si="36"/>
        <v>663.8</v>
      </c>
      <c r="W28" s="5">
        <f t="shared" si="37"/>
        <v>0.36836000000000002</v>
      </c>
      <c r="X28">
        <f t="shared" si="38"/>
        <v>0.36075600000000002</v>
      </c>
      <c r="Y28">
        <f t="shared" si="39"/>
        <v>0.97474300000000003</v>
      </c>
      <c r="AB28" t="s">
        <v>23</v>
      </c>
      <c r="AC28">
        <v>20</v>
      </c>
      <c r="AD28">
        <v>0.8</v>
      </c>
      <c r="AE28" s="5">
        <v>0.56748200000000004</v>
      </c>
      <c r="AF28" s="14">
        <v>0.8</v>
      </c>
      <c r="AG28" s="14">
        <v>4.4000000000000004</v>
      </c>
      <c r="AH28" s="14">
        <v>0.6</v>
      </c>
      <c r="AI28" s="14">
        <v>680.2</v>
      </c>
      <c r="AJ28" s="5">
        <v>0.157143</v>
      </c>
      <c r="AK28" s="5">
        <v>0.15502199999999999</v>
      </c>
      <c r="AL28" s="5">
        <v>0.11941300000000001</v>
      </c>
    </row>
    <row r="29" spans="1:38" x14ac:dyDescent="0.25">
      <c r="A29" t="s">
        <v>11</v>
      </c>
      <c r="B29">
        <v>20</v>
      </c>
      <c r="C29">
        <v>0.3</v>
      </c>
      <c r="D29">
        <f t="shared" si="24"/>
        <v>0.56748200000000004</v>
      </c>
      <c r="E29">
        <f t="shared" si="25"/>
        <v>9</v>
      </c>
      <c r="F29">
        <f t="shared" si="26"/>
        <v>0</v>
      </c>
      <c r="G29">
        <f t="shared" si="27"/>
        <v>5</v>
      </c>
      <c r="H29">
        <f t="shared" si="28"/>
        <v>672</v>
      </c>
      <c r="I29" s="5">
        <f t="shared" si="29"/>
        <v>0.53208900000000003</v>
      </c>
      <c r="J29">
        <f t="shared" si="30"/>
        <v>0.52700800000000003</v>
      </c>
      <c r="K29">
        <f t="shared" si="31"/>
        <v>0.98678399999999999</v>
      </c>
      <c r="O29" t="s">
        <v>17</v>
      </c>
      <c r="P29">
        <v>20</v>
      </c>
      <c r="Q29">
        <v>0.3</v>
      </c>
      <c r="R29">
        <f t="shared" si="32"/>
        <v>0.49885499999999999</v>
      </c>
      <c r="S29">
        <f t="shared" si="33"/>
        <v>10.4</v>
      </c>
      <c r="T29">
        <f t="shared" si="34"/>
        <v>0.4</v>
      </c>
      <c r="U29">
        <f t="shared" si="35"/>
        <v>4.5999999999999996</v>
      </c>
      <c r="V29">
        <f t="shared" si="36"/>
        <v>670.6</v>
      </c>
      <c r="W29" s="5">
        <f t="shared" si="37"/>
        <v>0.46727099999999999</v>
      </c>
      <c r="X29">
        <f t="shared" si="38"/>
        <v>0.46141300000000002</v>
      </c>
      <c r="Y29">
        <f t="shared" si="39"/>
        <v>0.90472799999999998</v>
      </c>
      <c r="AB29" t="s">
        <v>23</v>
      </c>
      <c r="AC29">
        <v>20</v>
      </c>
      <c r="AD29">
        <v>0.9</v>
      </c>
      <c r="AE29" s="5">
        <v>0.56748200000000004</v>
      </c>
      <c r="AF29" s="14">
        <v>0.4</v>
      </c>
      <c r="AG29" s="14">
        <v>5</v>
      </c>
      <c r="AH29" s="14">
        <v>0</v>
      </c>
      <c r="AI29" s="14">
        <v>680.6</v>
      </c>
      <c r="AJ29" s="5">
        <v>0</v>
      </c>
      <c r="AK29" s="5">
        <v>-9.7400000000000004E-4</v>
      </c>
      <c r="AL29" s="5">
        <v>0</v>
      </c>
    </row>
    <row r="30" spans="1:38" x14ac:dyDescent="0.25">
      <c r="A30" s="11" t="s">
        <v>11</v>
      </c>
      <c r="B30" s="11">
        <v>20</v>
      </c>
      <c r="C30" s="11">
        <v>0.4</v>
      </c>
      <c r="D30" s="11">
        <f t="shared" si="24"/>
        <v>0.56748200000000004</v>
      </c>
      <c r="E30" s="11">
        <f t="shared" si="25"/>
        <v>5.8</v>
      </c>
      <c r="F30" s="11">
        <f t="shared" si="26"/>
        <v>0.4</v>
      </c>
      <c r="G30" s="11">
        <f t="shared" si="27"/>
        <v>4.5999999999999996</v>
      </c>
      <c r="H30" s="11">
        <f t="shared" si="28"/>
        <v>675.2</v>
      </c>
      <c r="I30" s="12">
        <f t="shared" si="29"/>
        <v>0.598333</v>
      </c>
      <c r="J30" s="11">
        <f t="shared" si="30"/>
        <v>0.594337</v>
      </c>
      <c r="K30" s="11">
        <f t="shared" si="31"/>
        <v>0.91148300000000004</v>
      </c>
      <c r="O30" t="s">
        <v>17</v>
      </c>
      <c r="P30">
        <v>20</v>
      </c>
      <c r="Q30">
        <v>0.4</v>
      </c>
      <c r="R30">
        <f t="shared" si="32"/>
        <v>0.49885499999999999</v>
      </c>
      <c r="S30">
        <f t="shared" si="33"/>
        <v>3.2</v>
      </c>
      <c r="T30">
        <f t="shared" si="34"/>
        <v>2.6</v>
      </c>
      <c r="U30">
        <f t="shared" si="35"/>
        <v>2.4</v>
      </c>
      <c r="V30">
        <f t="shared" si="36"/>
        <v>677.8</v>
      </c>
      <c r="W30" s="5">
        <f t="shared" si="37"/>
        <v>0.33523799999999998</v>
      </c>
      <c r="X30">
        <f t="shared" si="38"/>
        <v>0.3327</v>
      </c>
      <c r="Y30">
        <f t="shared" si="39"/>
        <v>0.47530099999999997</v>
      </c>
      <c r="AB30" t="s">
        <v>23</v>
      </c>
      <c r="AC30">
        <v>30</v>
      </c>
      <c r="AD30">
        <v>0.1</v>
      </c>
      <c r="AE30" s="5">
        <v>0.53612199999999999</v>
      </c>
      <c r="AF30" s="14">
        <v>42.2</v>
      </c>
      <c r="AG30" s="14">
        <v>0</v>
      </c>
      <c r="AH30" s="14">
        <v>5</v>
      </c>
      <c r="AI30" s="14">
        <v>638.79999999999995</v>
      </c>
      <c r="AJ30" s="5">
        <v>0.19231300000000001</v>
      </c>
      <c r="AK30" s="5">
        <v>0.18152799999999999</v>
      </c>
      <c r="AL30" s="5">
        <v>0.93803199999999998</v>
      </c>
    </row>
    <row r="31" spans="1:38" x14ac:dyDescent="0.25">
      <c r="A31" s="4" t="s">
        <v>11</v>
      </c>
      <c r="B31" s="4">
        <v>20</v>
      </c>
      <c r="C31" s="4">
        <v>0.5</v>
      </c>
      <c r="D31" s="4">
        <f t="shared" si="24"/>
        <v>0.56748200000000004</v>
      </c>
      <c r="E31" s="4">
        <f t="shared" si="25"/>
        <v>4.4000000000000004</v>
      </c>
      <c r="F31" s="4">
        <f t="shared" si="26"/>
        <v>2</v>
      </c>
      <c r="G31" s="4">
        <f t="shared" si="27"/>
        <v>3</v>
      </c>
      <c r="H31" s="4">
        <f t="shared" si="28"/>
        <v>676.6</v>
      </c>
      <c r="I31" s="6">
        <f t="shared" si="29"/>
        <v>0.48571399999999998</v>
      </c>
      <c r="J31" s="4">
        <f t="shared" si="30"/>
        <v>0.48120299999999999</v>
      </c>
      <c r="K31" s="4">
        <f t="shared" si="31"/>
        <v>0.59353900000000004</v>
      </c>
      <c r="O31" s="4" t="s">
        <v>17</v>
      </c>
      <c r="P31" s="4">
        <v>20</v>
      </c>
      <c r="Q31" s="4">
        <v>0.5</v>
      </c>
      <c r="R31" s="4">
        <f t="shared" si="32"/>
        <v>0.49885499999999999</v>
      </c>
      <c r="S31" s="4">
        <f t="shared" si="33"/>
        <v>0</v>
      </c>
      <c r="T31" s="4">
        <f t="shared" si="34"/>
        <v>5</v>
      </c>
      <c r="U31" s="4">
        <f t="shared" si="35"/>
        <v>0</v>
      </c>
      <c r="V31" s="4">
        <f t="shared" si="36"/>
        <v>681</v>
      </c>
      <c r="W31" s="6">
        <f t="shared" si="37"/>
        <v>0</v>
      </c>
      <c r="X31" s="4">
        <f t="shared" si="38"/>
        <v>0</v>
      </c>
      <c r="Y31" s="4">
        <f t="shared" si="39"/>
        <v>0</v>
      </c>
      <c r="AB31" t="s">
        <v>23</v>
      </c>
      <c r="AC31">
        <v>30</v>
      </c>
      <c r="AD31">
        <v>0.2</v>
      </c>
      <c r="AE31" s="5">
        <v>0.53612199999999999</v>
      </c>
      <c r="AF31" s="14">
        <v>20.8</v>
      </c>
      <c r="AG31" s="14">
        <v>0</v>
      </c>
      <c r="AH31" s="14">
        <v>5</v>
      </c>
      <c r="AI31" s="14">
        <v>660.2</v>
      </c>
      <c r="AJ31" s="5">
        <v>0.32563900000000001</v>
      </c>
      <c r="AK31" s="5">
        <v>0.317305</v>
      </c>
      <c r="AL31" s="5">
        <v>0.96945700000000001</v>
      </c>
    </row>
    <row r="32" spans="1:38" x14ac:dyDescent="0.25">
      <c r="A32" t="s">
        <v>11</v>
      </c>
      <c r="B32">
        <v>20</v>
      </c>
      <c r="C32">
        <v>0.6</v>
      </c>
      <c r="D32">
        <f t="shared" si="24"/>
        <v>0.56748200000000004</v>
      </c>
      <c r="E32">
        <f t="shared" si="25"/>
        <v>2.6</v>
      </c>
      <c r="F32">
        <f t="shared" si="26"/>
        <v>2.8</v>
      </c>
      <c r="G32">
        <f t="shared" si="27"/>
        <v>2.2000000000000002</v>
      </c>
      <c r="H32">
        <f t="shared" si="28"/>
        <v>678.4</v>
      </c>
      <c r="I32" s="5">
        <f t="shared" si="29"/>
        <v>0.434921</v>
      </c>
      <c r="J32">
        <f t="shared" si="30"/>
        <v>0.43115900000000001</v>
      </c>
      <c r="K32">
        <f t="shared" si="31"/>
        <v>0.43618200000000001</v>
      </c>
      <c r="O32" t="s">
        <v>17</v>
      </c>
      <c r="P32">
        <v>20</v>
      </c>
      <c r="Q32">
        <v>0.6</v>
      </c>
      <c r="R32">
        <f t="shared" si="32"/>
        <v>0.49885499999999999</v>
      </c>
      <c r="S32">
        <f t="shared" si="33"/>
        <v>0</v>
      </c>
      <c r="T32">
        <f t="shared" si="34"/>
        <v>5</v>
      </c>
      <c r="U32">
        <f t="shared" si="35"/>
        <v>0</v>
      </c>
      <c r="V32">
        <f t="shared" si="36"/>
        <v>681</v>
      </c>
      <c r="W32" s="5">
        <f t="shared" si="37"/>
        <v>0</v>
      </c>
      <c r="X32">
        <f t="shared" si="38"/>
        <v>0</v>
      </c>
      <c r="Y32">
        <f t="shared" si="39"/>
        <v>0</v>
      </c>
      <c r="AB32" t="s">
        <v>23</v>
      </c>
      <c r="AC32">
        <v>30</v>
      </c>
      <c r="AD32">
        <v>0.3</v>
      </c>
      <c r="AE32" s="5">
        <v>0.53612199999999999</v>
      </c>
      <c r="AF32" s="14">
        <v>11.8</v>
      </c>
      <c r="AG32" s="14">
        <v>0</v>
      </c>
      <c r="AH32" s="14">
        <v>5</v>
      </c>
      <c r="AI32" s="14">
        <v>669.2</v>
      </c>
      <c r="AJ32" s="5">
        <v>0.46138499999999999</v>
      </c>
      <c r="AK32" s="5">
        <v>0.45526800000000001</v>
      </c>
      <c r="AL32" s="5">
        <v>0.98267300000000002</v>
      </c>
    </row>
    <row r="33" spans="1:38" x14ac:dyDescent="0.25">
      <c r="A33" t="s">
        <v>11</v>
      </c>
      <c r="B33">
        <v>20</v>
      </c>
      <c r="C33">
        <v>0.7</v>
      </c>
      <c r="D33">
        <f t="shared" si="24"/>
        <v>0.56748200000000004</v>
      </c>
      <c r="E33">
        <f t="shared" si="25"/>
        <v>1.2</v>
      </c>
      <c r="F33">
        <f t="shared" si="26"/>
        <v>3.4</v>
      </c>
      <c r="G33">
        <f t="shared" si="27"/>
        <v>1.6</v>
      </c>
      <c r="H33">
        <f t="shared" si="28"/>
        <v>679.8</v>
      </c>
      <c r="I33" s="5">
        <f t="shared" si="29"/>
        <v>0.38</v>
      </c>
      <c r="J33">
        <f t="shared" si="30"/>
        <v>0.37747000000000003</v>
      </c>
      <c r="K33">
        <f t="shared" si="31"/>
        <v>0.31823800000000002</v>
      </c>
      <c r="O33" t="s">
        <v>17</v>
      </c>
      <c r="P33">
        <v>20</v>
      </c>
      <c r="Q33">
        <v>0.7</v>
      </c>
      <c r="R33">
        <f t="shared" si="32"/>
        <v>0.49885499999999999</v>
      </c>
      <c r="S33">
        <f t="shared" si="33"/>
        <v>0</v>
      </c>
      <c r="T33">
        <f t="shared" si="34"/>
        <v>5</v>
      </c>
      <c r="U33">
        <f t="shared" si="35"/>
        <v>0</v>
      </c>
      <c r="V33">
        <f t="shared" si="36"/>
        <v>681</v>
      </c>
      <c r="W33" s="5">
        <f t="shared" si="37"/>
        <v>0</v>
      </c>
      <c r="X33">
        <f t="shared" si="38"/>
        <v>0</v>
      </c>
      <c r="Y33">
        <f t="shared" si="39"/>
        <v>0</v>
      </c>
      <c r="AB33" t="s">
        <v>23</v>
      </c>
      <c r="AC33">
        <v>30</v>
      </c>
      <c r="AD33">
        <v>0.4</v>
      </c>
      <c r="AE33" s="5">
        <v>0.53612199999999999</v>
      </c>
      <c r="AF33" s="14">
        <v>6.8</v>
      </c>
      <c r="AG33" s="14">
        <v>0.2</v>
      </c>
      <c r="AH33" s="14">
        <v>4.8</v>
      </c>
      <c r="AI33" s="14">
        <v>674.2</v>
      </c>
      <c r="AJ33" s="5">
        <v>0.58698799999999995</v>
      </c>
      <c r="AK33" s="5">
        <v>0.58271799999999996</v>
      </c>
      <c r="AL33" s="5">
        <v>0.95001500000000005</v>
      </c>
    </row>
    <row r="34" spans="1:38" x14ac:dyDescent="0.25">
      <c r="A34" t="s">
        <v>11</v>
      </c>
      <c r="B34">
        <v>20</v>
      </c>
      <c r="C34">
        <v>0.8</v>
      </c>
      <c r="D34">
        <f t="shared" si="24"/>
        <v>0.56748200000000004</v>
      </c>
      <c r="E34">
        <f t="shared" si="25"/>
        <v>0.8</v>
      </c>
      <c r="F34">
        <f t="shared" si="26"/>
        <v>4.4000000000000004</v>
      </c>
      <c r="G34">
        <f t="shared" si="27"/>
        <v>0.6</v>
      </c>
      <c r="H34">
        <f t="shared" si="28"/>
        <v>680.2</v>
      </c>
      <c r="I34" s="5">
        <f t="shared" si="29"/>
        <v>0.157143</v>
      </c>
      <c r="J34">
        <f t="shared" si="30"/>
        <v>0.15502199999999999</v>
      </c>
      <c r="K34">
        <f t="shared" si="31"/>
        <v>0.11941300000000001</v>
      </c>
      <c r="O34" t="s">
        <v>17</v>
      </c>
      <c r="P34">
        <v>20</v>
      </c>
      <c r="Q34">
        <v>0.8</v>
      </c>
      <c r="R34">
        <f t="shared" si="32"/>
        <v>0.49885499999999999</v>
      </c>
      <c r="S34">
        <f t="shared" si="33"/>
        <v>0</v>
      </c>
      <c r="T34">
        <f t="shared" si="34"/>
        <v>5</v>
      </c>
      <c r="U34">
        <f t="shared" si="35"/>
        <v>0</v>
      </c>
      <c r="V34">
        <f t="shared" si="36"/>
        <v>681</v>
      </c>
      <c r="W34" s="5">
        <f t="shared" si="37"/>
        <v>0</v>
      </c>
      <c r="X34">
        <f t="shared" si="38"/>
        <v>0</v>
      </c>
      <c r="Y34">
        <f t="shared" si="39"/>
        <v>0</v>
      </c>
      <c r="AB34" t="s">
        <v>23</v>
      </c>
      <c r="AC34">
        <v>30</v>
      </c>
      <c r="AD34">
        <v>0.5</v>
      </c>
      <c r="AE34" s="5">
        <v>0.53612199999999999</v>
      </c>
      <c r="AF34" s="14">
        <v>5.6</v>
      </c>
      <c r="AG34" s="14">
        <v>2</v>
      </c>
      <c r="AH34" s="14">
        <v>3</v>
      </c>
      <c r="AI34" s="14">
        <v>675.4</v>
      </c>
      <c r="AJ34" s="5">
        <v>0.442637</v>
      </c>
      <c r="AK34" s="5">
        <v>0.43745400000000001</v>
      </c>
      <c r="AL34" s="5">
        <v>0.591777</v>
      </c>
    </row>
    <row r="35" spans="1:38" x14ac:dyDescent="0.25">
      <c r="A35" t="s">
        <v>11</v>
      </c>
      <c r="B35">
        <v>20</v>
      </c>
      <c r="C35">
        <v>0.9</v>
      </c>
      <c r="D35">
        <f t="shared" si="24"/>
        <v>0.56748200000000004</v>
      </c>
      <c r="E35">
        <f t="shared" si="25"/>
        <v>0.4</v>
      </c>
      <c r="F35">
        <f t="shared" si="26"/>
        <v>5</v>
      </c>
      <c r="G35">
        <f t="shared" si="27"/>
        <v>0</v>
      </c>
      <c r="H35">
        <f t="shared" si="28"/>
        <v>680.6</v>
      </c>
      <c r="I35" s="5">
        <f t="shared" si="29"/>
        <v>0</v>
      </c>
      <c r="J35">
        <f t="shared" si="30"/>
        <v>-9.7400000000000004E-4</v>
      </c>
      <c r="K35">
        <f t="shared" si="31"/>
        <v>0</v>
      </c>
      <c r="O35" t="s">
        <v>17</v>
      </c>
      <c r="P35">
        <v>20</v>
      </c>
      <c r="Q35">
        <v>0.9</v>
      </c>
      <c r="R35">
        <f t="shared" si="32"/>
        <v>0.49885499999999999</v>
      </c>
      <c r="S35">
        <f t="shared" si="33"/>
        <v>0</v>
      </c>
      <c r="T35">
        <f t="shared" si="34"/>
        <v>5</v>
      </c>
      <c r="U35">
        <f t="shared" si="35"/>
        <v>0</v>
      </c>
      <c r="V35">
        <f t="shared" si="36"/>
        <v>681</v>
      </c>
      <c r="W35" s="5">
        <f t="shared" si="37"/>
        <v>0</v>
      </c>
      <c r="X35">
        <f t="shared" si="38"/>
        <v>0</v>
      </c>
      <c r="Y35">
        <f t="shared" si="39"/>
        <v>0</v>
      </c>
      <c r="AB35" t="s">
        <v>23</v>
      </c>
      <c r="AC35">
        <v>30</v>
      </c>
      <c r="AD35">
        <v>0.6</v>
      </c>
      <c r="AE35" s="5">
        <v>0.53612199999999999</v>
      </c>
      <c r="AF35" s="14">
        <v>4</v>
      </c>
      <c r="AG35" s="14">
        <v>2.2000000000000002</v>
      </c>
      <c r="AH35" s="14">
        <v>2.8</v>
      </c>
      <c r="AI35" s="14">
        <v>677</v>
      </c>
      <c r="AJ35" s="5">
        <v>0.474603</v>
      </c>
      <c r="AK35" s="5">
        <v>0.470225</v>
      </c>
      <c r="AL35" s="5">
        <v>0.55412600000000001</v>
      </c>
    </row>
    <row r="36" spans="1:38" x14ac:dyDescent="0.25">
      <c r="AB36" t="s">
        <v>23</v>
      </c>
      <c r="AC36">
        <v>30</v>
      </c>
      <c r="AD36">
        <v>0.7</v>
      </c>
      <c r="AE36" s="5">
        <v>0.53612199999999999</v>
      </c>
      <c r="AF36" s="14">
        <v>2</v>
      </c>
      <c r="AG36" s="14">
        <v>3.4</v>
      </c>
      <c r="AH36" s="14">
        <v>1.6</v>
      </c>
      <c r="AI36" s="14">
        <v>679</v>
      </c>
      <c r="AJ36" s="5">
        <v>0.35272700000000001</v>
      </c>
      <c r="AK36" s="5">
        <v>0.34923999999999999</v>
      </c>
      <c r="AL36" s="5">
        <v>0.317357</v>
      </c>
    </row>
    <row r="37" spans="1:38" x14ac:dyDescent="0.25">
      <c r="AB37" t="s">
        <v>23</v>
      </c>
      <c r="AC37">
        <v>30</v>
      </c>
      <c r="AD37">
        <v>0.8</v>
      </c>
      <c r="AE37" s="5">
        <v>0.53612199999999999</v>
      </c>
      <c r="AF37" s="14">
        <v>1.2</v>
      </c>
      <c r="AG37" s="14">
        <v>3.8</v>
      </c>
      <c r="AH37" s="14">
        <v>1.2</v>
      </c>
      <c r="AI37" s="14">
        <v>679.8</v>
      </c>
      <c r="AJ37" s="5">
        <v>0.29428599999999999</v>
      </c>
      <c r="AK37" s="5">
        <v>0.29165999999999997</v>
      </c>
      <c r="AL37" s="5">
        <v>0.23823800000000001</v>
      </c>
    </row>
    <row r="38" spans="1:38" x14ac:dyDescent="0.25">
      <c r="D38" t="s">
        <v>0</v>
      </c>
      <c r="E38" t="s">
        <v>0</v>
      </c>
      <c r="F38" t="s">
        <v>0</v>
      </c>
      <c r="G38" t="s">
        <v>0</v>
      </c>
      <c r="H38" t="s">
        <v>0</v>
      </c>
      <c r="I38" s="5" t="s">
        <v>0</v>
      </c>
      <c r="J38" t="s">
        <v>0</v>
      </c>
      <c r="K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s="5" t="s">
        <v>0</v>
      </c>
      <c r="X38" t="s">
        <v>0</v>
      </c>
      <c r="Y38" t="s">
        <v>0</v>
      </c>
      <c r="AB38" t="s">
        <v>23</v>
      </c>
      <c r="AC38">
        <v>30</v>
      </c>
      <c r="AD38">
        <v>0.9</v>
      </c>
      <c r="AE38" s="5">
        <v>0.53612199999999999</v>
      </c>
      <c r="AF38" s="14">
        <v>0.4</v>
      </c>
      <c r="AG38" s="14">
        <v>4.8</v>
      </c>
      <c r="AH38" s="14">
        <v>0.2</v>
      </c>
      <c r="AI38" s="14">
        <v>680.6</v>
      </c>
      <c r="AJ38" s="5">
        <v>5.7142999999999999E-2</v>
      </c>
      <c r="AK38" s="5">
        <v>5.6057999999999997E-2</v>
      </c>
      <c r="AL38" s="5">
        <v>3.9705999999999998E-2</v>
      </c>
    </row>
    <row r="39" spans="1:38" x14ac:dyDescent="0.25">
      <c r="A39" t="s">
        <v>1</v>
      </c>
      <c r="B39" t="s">
        <v>2</v>
      </c>
      <c r="C39" t="s">
        <v>13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s="5" t="s">
        <v>8</v>
      </c>
      <c r="J39" t="s">
        <v>9</v>
      </c>
      <c r="K39" t="s">
        <v>10</v>
      </c>
      <c r="O39" t="s">
        <v>1</v>
      </c>
      <c r="P39" t="s">
        <v>2</v>
      </c>
      <c r="Q39" t="s">
        <v>13</v>
      </c>
      <c r="R39" t="s">
        <v>3</v>
      </c>
      <c r="S39" t="s">
        <v>4</v>
      </c>
      <c r="T39" t="s">
        <v>5</v>
      </c>
      <c r="U39" t="s">
        <v>6</v>
      </c>
      <c r="V39" t="s">
        <v>7</v>
      </c>
      <c r="W39" s="5" t="s">
        <v>8</v>
      </c>
      <c r="X39" t="s">
        <v>9</v>
      </c>
      <c r="Y39" t="s">
        <v>10</v>
      </c>
      <c r="AB39" t="s">
        <v>23</v>
      </c>
      <c r="AC39">
        <v>40</v>
      </c>
      <c r="AD39">
        <v>0.1</v>
      </c>
      <c r="AE39" s="5">
        <v>0.48866999999999999</v>
      </c>
      <c r="AF39" s="14">
        <v>58.4</v>
      </c>
      <c r="AG39" s="14">
        <v>0</v>
      </c>
      <c r="AH39" s="14">
        <v>5</v>
      </c>
      <c r="AI39" s="14">
        <v>622.6</v>
      </c>
      <c r="AJ39" s="5">
        <v>0.14652100000000001</v>
      </c>
      <c r="AK39" s="5">
        <v>0.13483300000000001</v>
      </c>
      <c r="AL39" s="5">
        <v>0.91424399999999995</v>
      </c>
    </row>
    <row r="40" spans="1:38" x14ac:dyDescent="0.25">
      <c r="A40" t="s">
        <v>11</v>
      </c>
      <c r="B40">
        <v>30</v>
      </c>
      <c r="C40">
        <v>0.1</v>
      </c>
      <c r="D40">
        <f t="shared" ref="D40:D48" si="40">AE30</f>
        <v>0.53612199999999999</v>
      </c>
      <c r="E40">
        <f t="shared" ref="E40:E48" si="41">AF30</f>
        <v>42.2</v>
      </c>
      <c r="F40">
        <f t="shared" ref="F40:F48" si="42">AG30</f>
        <v>0</v>
      </c>
      <c r="G40">
        <f t="shared" ref="G40:G48" si="43">AH30</f>
        <v>5</v>
      </c>
      <c r="H40">
        <f t="shared" ref="H40:H48" si="44">AI30</f>
        <v>638.79999999999995</v>
      </c>
      <c r="I40" s="5">
        <f t="shared" ref="I40:I48" si="45">AJ30</f>
        <v>0.19231300000000001</v>
      </c>
      <c r="J40">
        <f t="shared" ref="J40:J48" si="46">AK30</f>
        <v>0.18152799999999999</v>
      </c>
      <c r="K40">
        <f t="shared" ref="K40:K48" si="47">AL30</f>
        <v>0.93803199999999998</v>
      </c>
      <c r="O40" t="s">
        <v>17</v>
      </c>
      <c r="P40">
        <v>30</v>
      </c>
      <c r="Q40">
        <v>0.1</v>
      </c>
      <c r="R40">
        <f t="shared" ref="R40:R48" si="48">AE111</f>
        <v>0.495888</v>
      </c>
      <c r="S40">
        <f t="shared" ref="S40:S48" si="49">AF111</f>
        <v>44.4</v>
      </c>
      <c r="T40">
        <f t="shared" ref="T40:T48" si="50">AG111</f>
        <v>0</v>
      </c>
      <c r="U40">
        <f t="shared" ref="U40:U48" si="51">AH111</f>
        <v>5</v>
      </c>
      <c r="V40">
        <f t="shared" ref="V40:V48" si="52">AI111</f>
        <v>636.6</v>
      </c>
      <c r="W40" s="5">
        <f t="shared" ref="W40:W48" si="53">AJ111</f>
        <v>0.18393499999999999</v>
      </c>
      <c r="X40">
        <f t="shared" ref="X40:X48" si="54">AK111</f>
        <v>0.172988</v>
      </c>
      <c r="Y40">
        <f t="shared" ref="Y40:Y48" si="55">AL111</f>
        <v>0.93480200000000002</v>
      </c>
      <c r="AB40" t="s">
        <v>23</v>
      </c>
      <c r="AC40">
        <v>40</v>
      </c>
      <c r="AD40">
        <v>0.2</v>
      </c>
      <c r="AE40" s="5">
        <v>0.48866999999999999</v>
      </c>
      <c r="AF40" s="14">
        <v>28.8</v>
      </c>
      <c r="AG40" s="14">
        <v>0</v>
      </c>
      <c r="AH40" s="14">
        <v>5</v>
      </c>
      <c r="AI40" s="14">
        <v>652.20000000000005</v>
      </c>
      <c r="AJ40" s="5">
        <v>0.26329999999999998</v>
      </c>
      <c r="AK40" s="5">
        <v>0.25384499999999999</v>
      </c>
      <c r="AL40" s="5">
        <v>0.95770900000000003</v>
      </c>
    </row>
    <row r="41" spans="1:38" x14ac:dyDescent="0.25">
      <c r="A41" t="s">
        <v>11</v>
      </c>
      <c r="B41">
        <v>30</v>
      </c>
      <c r="C41">
        <v>0.2</v>
      </c>
      <c r="D41">
        <f t="shared" si="40"/>
        <v>0.53612199999999999</v>
      </c>
      <c r="E41">
        <f t="shared" si="41"/>
        <v>20.8</v>
      </c>
      <c r="F41">
        <f t="shared" si="42"/>
        <v>0</v>
      </c>
      <c r="G41">
        <f t="shared" si="43"/>
        <v>5</v>
      </c>
      <c r="H41">
        <f t="shared" si="44"/>
        <v>660.2</v>
      </c>
      <c r="I41" s="5">
        <f t="shared" si="45"/>
        <v>0.32563900000000001</v>
      </c>
      <c r="J41">
        <f t="shared" si="46"/>
        <v>0.317305</v>
      </c>
      <c r="K41">
        <f t="shared" si="47"/>
        <v>0.96945700000000001</v>
      </c>
      <c r="O41" t="s">
        <v>17</v>
      </c>
      <c r="P41">
        <v>30</v>
      </c>
      <c r="Q41">
        <v>0.2</v>
      </c>
      <c r="R41">
        <f t="shared" si="48"/>
        <v>0.495888</v>
      </c>
      <c r="S41">
        <f t="shared" si="49"/>
        <v>21</v>
      </c>
      <c r="T41">
        <f t="shared" si="50"/>
        <v>0</v>
      </c>
      <c r="U41">
        <f t="shared" si="51"/>
        <v>5</v>
      </c>
      <c r="V41">
        <f t="shared" si="52"/>
        <v>660</v>
      </c>
      <c r="W41" s="5">
        <f t="shared" si="53"/>
        <v>0.32258100000000001</v>
      </c>
      <c r="X41">
        <f t="shared" si="54"/>
        <v>0.31419599999999998</v>
      </c>
      <c r="Y41">
        <f t="shared" si="55"/>
        <v>0.969163</v>
      </c>
      <c r="AB41" t="s">
        <v>23</v>
      </c>
      <c r="AC41">
        <v>40</v>
      </c>
      <c r="AD41">
        <v>0.3</v>
      </c>
      <c r="AE41" s="5">
        <v>0.48866999999999999</v>
      </c>
      <c r="AF41" s="14">
        <v>16.600000000000001</v>
      </c>
      <c r="AG41" s="14">
        <v>0</v>
      </c>
      <c r="AH41" s="14">
        <v>5</v>
      </c>
      <c r="AI41" s="14">
        <v>664.4</v>
      </c>
      <c r="AJ41" s="5">
        <v>0.38322299999999998</v>
      </c>
      <c r="AK41" s="5">
        <v>0.37584699999999999</v>
      </c>
      <c r="AL41" s="5">
        <v>0.97562400000000005</v>
      </c>
    </row>
    <row r="42" spans="1:38" x14ac:dyDescent="0.25">
      <c r="A42" t="s">
        <v>11</v>
      </c>
      <c r="B42">
        <v>30</v>
      </c>
      <c r="C42">
        <v>0.3</v>
      </c>
      <c r="D42">
        <f t="shared" si="40"/>
        <v>0.53612199999999999</v>
      </c>
      <c r="E42">
        <f t="shared" si="41"/>
        <v>11.8</v>
      </c>
      <c r="F42">
        <f t="shared" si="42"/>
        <v>0</v>
      </c>
      <c r="G42">
        <f t="shared" si="43"/>
        <v>5</v>
      </c>
      <c r="H42">
        <f t="shared" si="44"/>
        <v>669.2</v>
      </c>
      <c r="I42" s="5">
        <f t="shared" si="45"/>
        <v>0.46138499999999999</v>
      </c>
      <c r="J42">
        <f t="shared" si="46"/>
        <v>0.45526800000000001</v>
      </c>
      <c r="K42">
        <f t="shared" si="47"/>
        <v>0.98267300000000002</v>
      </c>
      <c r="O42" t="s">
        <v>17</v>
      </c>
      <c r="P42">
        <v>30</v>
      </c>
      <c r="Q42">
        <v>0.3</v>
      </c>
      <c r="R42">
        <f t="shared" si="48"/>
        <v>0.495888</v>
      </c>
      <c r="S42">
        <f t="shared" si="49"/>
        <v>15</v>
      </c>
      <c r="T42">
        <f t="shared" si="50"/>
        <v>0</v>
      </c>
      <c r="U42">
        <f t="shared" si="51"/>
        <v>5</v>
      </c>
      <c r="V42">
        <f t="shared" si="52"/>
        <v>666</v>
      </c>
      <c r="W42" s="5">
        <f t="shared" si="53"/>
        <v>0.4</v>
      </c>
      <c r="X42">
        <f t="shared" si="54"/>
        <v>0.39291999999999999</v>
      </c>
      <c r="Y42">
        <f t="shared" si="55"/>
        <v>0.97797400000000001</v>
      </c>
      <c r="AB42" t="s">
        <v>23</v>
      </c>
      <c r="AC42">
        <v>40</v>
      </c>
      <c r="AD42">
        <v>0.4</v>
      </c>
      <c r="AE42" s="5">
        <v>0.48866999999999999</v>
      </c>
      <c r="AF42" s="14">
        <v>10.199999999999999</v>
      </c>
      <c r="AG42" s="14">
        <v>0.2</v>
      </c>
      <c r="AH42" s="14">
        <v>4.8</v>
      </c>
      <c r="AI42" s="14">
        <v>670.8</v>
      </c>
      <c r="AJ42" s="5">
        <v>0.49683300000000002</v>
      </c>
      <c r="AK42" s="5">
        <v>0.49125999999999997</v>
      </c>
      <c r="AL42" s="5">
        <v>0.94502200000000003</v>
      </c>
    </row>
    <row r="43" spans="1:38" x14ac:dyDescent="0.25">
      <c r="A43" t="s">
        <v>11</v>
      </c>
      <c r="B43">
        <v>30</v>
      </c>
      <c r="C43">
        <v>0.4</v>
      </c>
      <c r="D43">
        <f t="shared" si="40"/>
        <v>0.53612199999999999</v>
      </c>
      <c r="E43">
        <f t="shared" si="41"/>
        <v>6.8</v>
      </c>
      <c r="F43">
        <f t="shared" si="42"/>
        <v>0.2</v>
      </c>
      <c r="G43">
        <f t="shared" si="43"/>
        <v>4.8</v>
      </c>
      <c r="H43">
        <f t="shared" si="44"/>
        <v>674.2</v>
      </c>
      <c r="I43" s="5">
        <f t="shared" si="45"/>
        <v>0.58698799999999995</v>
      </c>
      <c r="J43">
        <f t="shared" si="46"/>
        <v>0.58271799999999996</v>
      </c>
      <c r="K43">
        <f t="shared" si="47"/>
        <v>0.95001500000000005</v>
      </c>
      <c r="O43" t="s">
        <v>17</v>
      </c>
      <c r="P43">
        <v>30</v>
      </c>
      <c r="Q43">
        <v>0.4</v>
      </c>
      <c r="R43">
        <f t="shared" si="48"/>
        <v>0.495888</v>
      </c>
      <c r="S43">
        <f t="shared" si="49"/>
        <v>10.6</v>
      </c>
      <c r="T43">
        <f t="shared" si="50"/>
        <v>0</v>
      </c>
      <c r="U43">
        <f t="shared" si="51"/>
        <v>5</v>
      </c>
      <c r="V43">
        <f t="shared" si="52"/>
        <v>670.4</v>
      </c>
      <c r="W43" s="5">
        <f t="shared" si="53"/>
        <v>0.48571399999999998</v>
      </c>
      <c r="X43">
        <f t="shared" si="54"/>
        <v>0.47997400000000001</v>
      </c>
      <c r="Y43">
        <f t="shared" si="55"/>
        <v>0.98443499999999995</v>
      </c>
      <c r="AB43" t="s">
        <v>23</v>
      </c>
      <c r="AC43">
        <v>40</v>
      </c>
      <c r="AD43">
        <v>0.5</v>
      </c>
      <c r="AE43" s="5">
        <v>0.48866999999999999</v>
      </c>
      <c r="AF43" s="14">
        <v>7.8</v>
      </c>
      <c r="AG43" s="14">
        <v>1.6</v>
      </c>
      <c r="AH43" s="14">
        <v>3.4</v>
      </c>
      <c r="AI43" s="14">
        <v>673.2</v>
      </c>
      <c r="AJ43" s="5">
        <v>0.42932100000000001</v>
      </c>
      <c r="AK43" s="5">
        <v>0.42355399999999999</v>
      </c>
      <c r="AL43" s="5">
        <v>0.66854599999999997</v>
      </c>
    </row>
    <row r="44" spans="1:38" x14ac:dyDescent="0.25">
      <c r="A44" s="4" t="s">
        <v>11</v>
      </c>
      <c r="B44" s="4">
        <v>30</v>
      </c>
      <c r="C44" s="4">
        <v>0.5</v>
      </c>
      <c r="D44" s="4">
        <f t="shared" si="40"/>
        <v>0.53612199999999999</v>
      </c>
      <c r="E44" s="4">
        <f t="shared" si="41"/>
        <v>5.6</v>
      </c>
      <c r="F44" s="4">
        <f t="shared" si="42"/>
        <v>2</v>
      </c>
      <c r="G44" s="4">
        <f t="shared" si="43"/>
        <v>3</v>
      </c>
      <c r="H44" s="4">
        <f t="shared" si="44"/>
        <v>675.4</v>
      </c>
      <c r="I44" s="6">
        <f t="shared" si="45"/>
        <v>0.442637</v>
      </c>
      <c r="J44" s="4">
        <f t="shared" si="46"/>
        <v>0.43745400000000001</v>
      </c>
      <c r="K44" s="4">
        <f t="shared" si="47"/>
        <v>0.591777</v>
      </c>
      <c r="O44" s="4" t="s">
        <v>17</v>
      </c>
      <c r="P44" s="4">
        <v>30</v>
      </c>
      <c r="Q44" s="4">
        <v>0.5</v>
      </c>
      <c r="R44" s="4">
        <f t="shared" si="48"/>
        <v>0.495888</v>
      </c>
      <c r="S44" s="4">
        <f t="shared" si="49"/>
        <v>5</v>
      </c>
      <c r="T44" s="4">
        <f t="shared" si="50"/>
        <v>1</v>
      </c>
      <c r="U44" s="4">
        <f t="shared" si="51"/>
        <v>4</v>
      </c>
      <c r="V44" s="4">
        <f t="shared" si="52"/>
        <v>676</v>
      </c>
      <c r="W44" s="6">
        <f t="shared" si="53"/>
        <v>0.57142899999999996</v>
      </c>
      <c r="X44" s="4">
        <f t="shared" si="54"/>
        <v>0.56737400000000004</v>
      </c>
      <c r="Y44" s="4">
        <f t="shared" si="55"/>
        <v>0.79265799999999997</v>
      </c>
      <c r="AB44" t="s">
        <v>23</v>
      </c>
      <c r="AC44">
        <v>40</v>
      </c>
      <c r="AD44">
        <v>0.6</v>
      </c>
      <c r="AE44" s="5">
        <v>0.48866999999999999</v>
      </c>
      <c r="AF44" s="14">
        <v>4.8</v>
      </c>
      <c r="AG44" s="14">
        <v>2.4</v>
      </c>
      <c r="AH44" s="14">
        <v>2.6</v>
      </c>
      <c r="AI44" s="14">
        <v>676.2</v>
      </c>
      <c r="AJ44" s="5">
        <v>0.421232</v>
      </c>
      <c r="AK44" s="5">
        <v>0.41627199999999998</v>
      </c>
      <c r="AL44" s="5">
        <v>0.51295199999999996</v>
      </c>
    </row>
    <row r="45" spans="1:38" x14ac:dyDescent="0.25">
      <c r="A45" t="s">
        <v>11</v>
      </c>
      <c r="B45">
        <v>30</v>
      </c>
      <c r="C45">
        <v>0.6</v>
      </c>
      <c r="D45">
        <f t="shared" si="40"/>
        <v>0.53612199999999999</v>
      </c>
      <c r="E45">
        <f t="shared" si="41"/>
        <v>4</v>
      </c>
      <c r="F45">
        <f t="shared" si="42"/>
        <v>2.2000000000000002</v>
      </c>
      <c r="G45">
        <f t="shared" si="43"/>
        <v>2.8</v>
      </c>
      <c r="H45">
        <f t="shared" si="44"/>
        <v>677</v>
      </c>
      <c r="I45" s="5">
        <f t="shared" si="45"/>
        <v>0.474603</v>
      </c>
      <c r="J45">
        <f t="shared" si="46"/>
        <v>0.470225</v>
      </c>
      <c r="K45">
        <f t="shared" si="47"/>
        <v>0.55412600000000001</v>
      </c>
      <c r="O45" t="s">
        <v>17</v>
      </c>
      <c r="P45">
        <v>30</v>
      </c>
      <c r="Q45">
        <v>0.6</v>
      </c>
      <c r="R45">
        <f t="shared" si="48"/>
        <v>0.495888</v>
      </c>
      <c r="S45">
        <f t="shared" si="49"/>
        <v>0</v>
      </c>
      <c r="T45">
        <f t="shared" si="50"/>
        <v>5</v>
      </c>
      <c r="U45">
        <f t="shared" si="51"/>
        <v>0</v>
      </c>
      <c r="V45">
        <f t="shared" si="52"/>
        <v>681</v>
      </c>
      <c r="W45" s="5">
        <f t="shared" si="53"/>
        <v>0</v>
      </c>
      <c r="X45">
        <f t="shared" si="54"/>
        <v>0</v>
      </c>
      <c r="Y45">
        <f t="shared" si="55"/>
        <v>0</v>
      </c>
      <c r="AB45" t="s">
        <v>23</v>
      </c>
      <c r="AC45">
        <v>40</v>
      </c>
      <c r="AD45">
        <v>0.7</v>
      </c>
      <c r="AE45" s="5">
        <v>0.48866999999999999</v>
      </c>
      <c r="AF45" s="14">
        <v>2.8</v>
      </c>
      <c r="AG45" s="14">
        <v>3.2</v>
      </c>
      <c r="AH45" s="14">
        <v>1.8</v>
      </c>
      <c r="AI45" s="14">
        <v>678.2</v>
      </c>
      <c r="AJ45" s="5">
        <v>0.37868099999999999</v>
      </c>
      <c r="AK45" s="5">
        <v>0.37451899999999999</v>
      </c>
      <c r="AL45" s="5">
        <v>0.35588799999999998</v>
      </c>
    </row>
    <row r="46" spans="1:38" x14ac:dyDescent="0.25">
      <c r="A46" t="s">
        <v>11</v>
      </c>
      <c r="B46">
        <v>30</v>
      </c>
      <c r="C46">
        <v>0.7</v>
      </c>
      <c r="D46">
        <f t="shared" si="40"/>
        <v>0.53612199999999999</v>
      </c>
      <c r="E46">
        <f t="shared" si="41"/>
        <v>2</v>
      </c>
      <c r="F46">
        <f t="shared" si="42"/>
        <v>3.4</v>
      </c>
      <c r="G46">
        <f t="shared" si="43"/>
        <v>1.6</v>
      </c>
      <c r="H46">
        <f t="shared" si="44"/>
        <v>679</v>
      </c>
      <c r="I46" s="5">
        <f t="shared" si="45"/>
        <v>0.35272700000000001</v>
      </c>
      <c r="J46">
        <f t="shared" si="46"/>
        <v>0.34923999999999999</v>
      </c>
      <c r="K46">
        <f t="shared" si="47"/>
        <v>0.317357</v>
      </c>
      <c r="O46" t="s">
        <v>17</v>
      </c>
      <c r="P46">
        <v>30</v>
      </c>
      <c r="Q46">
        <v>0.7</v>
      </c>
      <c r="R46">
        <f t="shared" si="48"/>
        <v>0.495888</v>
      </c>
      <c r="S46">
        <f t="shared" si="49"/>
        <v>0</v>
      </c>
      <c r="T46">
        <f t="shared" si="50"/>
        <v>5</v>
      </c>
      <c r="U46">
        <f t="shared" si="51"/>
        <v>0</v>
      </c>
      <c r="V46">
        <f t="shared" si="52"/>
        <v>681</v>
      </c>
      <c r="W46" s="5">
        <f t="shared" si="53"/>
        <v>0</v>
      </c>
      <c r="X46">
        <f t="shared" si="54"/>
        <v>0</v>
      </c>
      <c r="Y46">
        <f t="shared" si="55"/>
        <v>0</v>
      </c>
      <c r="AB46" t="s">
        <v>23</v>
      </c>
      <c r="AC46">
        <v>40</v>
      </c>
      <c r="AD46">
        <v>0.8</v>
      </c>
      <c r="AE46" s="5">
        <v>0.48866999999999999</v>
      </c>
      <c r="AF46" s="14">
        <v>1.6</v>
      </c>
      <c r="AG46" s="14">
        <v>3.6</v>
      </c>
      <c r="AH46" s="14">
        <v>1.4</v>
      </c>
      <c r="AI46" s="14">
        <v>679.4</v>
      </c>
      <c r="AJ46" s="5">
        <v>0.31875900000000001</v>
      </c>
      <c r="AK46" s="5">
        <v>0.31586700000000001</v>
      </c>
      <c r="AL46" s="5">
        <v>0.27765099999999998</v>
      </c>
    </row>
    <row r="47" spans="1:38" x14ac:dyDescent="0.25">
      <c r="A47" t="s">
        <v>11</v>
      </c>
      <c r="B47">
        <v>30</v>
      </c>
      <c r="C47">
        <v>0.8</v>
      </c>
      <c r="D47">
        <f t="shared" si="40"/>
        <v>0.53612199999999999</v>
      </c>
      <c r="E47">
        <f t="shared" si="41"/>
        <v>1.2</v>
      </c>
      <c r="F47">
        <f t="shared" si="42"/>
        <v>3.8</v>
      </c>
      <c r="G47">
        <f t="shared" si="43"/>
        <v>1.2</v>
      </c>
      <c r="H47">
        <f t="shared" si="44"/>
        <v>679.8</v>
      </c>
      <c r="I47" s="5">
        <f t="shared" si="45"/>
        <v>0.29428599999999999</v>
      </c>
      <c r="J47">
        <f t="shared" si="46"/>
        <v>0.29165999999999997</v>
      </c>
      <c r="K47">
        <f t="shared" si="47"/>
        <v>0.23823800000000001</v>
      </c>
      <c r="O47" t="s">
        <v>17</v>
      </c>
      <c r="P47">
        <v>30</v>
      </c>
      <c r="Q47">
        <v>0.8</v>
      </c>
      <c r="R47">
        <f t="shared" si="48"/>
        <v>0.495888</v>
      </c>
      <c r="S47">
        <f t="shared" si="49"/>
        <v>0</v>
      </c>
      <c r="T47">
        <f t="shared" si="50"/>
        <v>5</v>
      </c>
      <c r="U47">
        <f t="shared" si="51"/>
        <v>0</v>
      </c>
      <c r="V47">
        <f t="shared" si="52"/>
        <v>681</v>
      </c>
      <c r="W47" s="5">
        <f t="shared" si="53"/>
        <v>0</v>
      </c>
      <c r="X47">
        <f t="shared" si="54"/>
        <v>0</v>
      </c>
      <c r="Y47">
        <f t="shared" si="55"/>
        <v>0</v>
      </c>
      <c r="AB47" t="s">
        <v>23</v>
      </c>
      <c r="AC47">
        <v>40</v>
      </c>
      <c r="AD47">
        <v>0.9</v>
      </c>
      <c r="AE47" s="5">
        <v>0.48866999999999999</v>
      </c>
      <c r="AF47" s="14">
        <v>1</v>
      </c>
      <c r="AG47" s="14">
        <v>4.8</v>
      </c>
      <c r="AH47" s="14">
        <v>0.2</v>
      </c>
      <c r="AI47" s="14">
        <v>680</v>
      </c>
      <c r="AJ47" s="5">
        <v>4.4443999999999997E-2</v>
      </c>
      <c r="AK47" s="5">
        <v>4.2456000000000001E-2</v>
      </c>
      <c r="AL47" s="5">
        <v>3.9119000000000001E-2</v>
      </c>
    </row>
    <row r="48" spans="1:38" x14ac:dyDescent="0.25">
      <c r="A48" t="s">
        <v>11</v>
      </c>
      <c r="B48">
        <v>30</v>
      </c>
      <c r="C48">
        <v>0.9</v>
      </c>
      <c r="D48">
        <f t="shared" si="40"/>
        <v>0.53612199999999999</v>
      </c>
      <c r="E48">
        <f t="shared" si="41"/>
        <v>0.4</v>
      </c>
      <c r="F48">
        <f t="shared" si="42"/>
        <v>4.8</v>
      </c>
      <c r="G48">
        <f t="shared" si="43"/>
        <v>0.2</v>
      </c>
      <c r="H48">
        <f t="shared" si="44"/>
        <v>680.6</v>
      </c>
      <c r="I48" s="5">
        <f t="shared" si="45"/>
        <v>5.7142999999999999E-2</v>
      </c>
      <c r="J48">
        <f t="shared" si="46"/>
        <v>5.6057999999999997E-2</v>
      </c>
      <c r="K48">
        <f t="shared" si="47"/>
        <v>3.9705999999999998E-2</v>
      </c>
      <c r="O48" t="s">
        <v>17</v>
      </c>
      <c r="P48">
        <v>30</v>
      </c>
      <c r="Q48">
        <v>0.9</v>
      </c>
      <c r="R48">
        <f t="shared" si="48"/>
        <v>0.495888</v>
      </c>
      <c r="S48">
        <f t="shared" si="49"/>
        <v>0</v>
      </c>
      <c r="T48">
        <f t="shared" si="50"/>
        <v>5</v>
      </c>
      <c r="U48">
        <f t="shared" si="51"/>
        <v>0</v>
      </c>
      <c r="V48">
        <f t="shared" si="52"/>
        <v>681</v>
      </c>
      <c r="W48" s="5">
        <f t="shared" si="53"/>
        <v>0</v>
      </c>
      <c r="X48">
        <f t="shared" si="54"/>
        <v>0</v>
      </c>
      <c r="Y48">
        <f t="shared" si="55"/>
        <v>0</v>
      </c>
      <c r="AB48" t="s">
        <v>23</v>
      </c>
      <c r="AC48">
        <v>50</v>
      </c>
      <c r="AD48">
        <v>0.1</v>
      </c>
      <c r="AE48" s="5">
        <v>0.46375100000000002</v>
      </c>
      <c r="AF48" s="14">
        <v>80.2</v>
      </c>
      <c r="AG48" s="14">
        <v>0</v>
      </c>
      <c r="AH48" s="14">
        <v>5</v>
      </c>
      <c r="AI48" s="14">
        <v>600.79999999999995</v>
      </c>
      <c r="AJ48" s="5">
        <v>0.126027</v>
      </c>
      <c r="AK48" s="5">
        <v>0.113902</v>
      </c>
      <c r="AL48" s="5">
        <v>0.88223200000000002</v>
      </c>
    </row>
    <row r="49" spans="1:38" x14ac:dyDescent="0.25">
      <c r="AB49" t="s">
        <v>23</v>
      </c>
      <c r="AC49">
        <v>50</v>
      </c>
      <c r="AD49">
        <v>0.2</v>
      </c>
      <c r="AE49" s="5">
        <v>0.46375100000000002</v>
      </c>
      <c r="AF49" s="14">
        <v>33</v>
      </c>
      <c r="AG49" s="14">
        <v>0</v>
      </c>
      <c r="AH49" s="14">
        <v>5</v>
      </c>
      <c r="AI49" s="14">
        <v>648</v>
      </c>
      <c r="AJ49" s="5">
        <v>0.249219</v>
      </c>
      <c r="AK49" s="5">
        <v>0.239478</v>
      </c>
      <c r="AL49" s="5">
        <v>0.951542</v>
      </c>
    </row>
    <row r="50" spans="1:38" x14ac:dyDescent="0.25">
      <c r="AB50" t="s">
        <v>23</v>
      </c>
      <c r="AC50">
        <v>50</v>
      </c>
      <c r="AD50">
        <v>0.3</v>
      </c>
      <c r="AE50" s="5">
        <v>0.46375100000000002</v>
      </c>
      <c r="AF50" s="14">
        <v>22.6</v>
      </c>
      <c r="AG50" s="14">
        <v>0.2</v>
      </c>
      <c r="AH50" s="14">
        <v>4.8</v>
      </c>
      <c r="AI50" s="14">
        <v>658.4</v>
      </c>
      <c r="AJ50" s="5">
        <v>0.31842199999999998</v>
      </c>
      <c r="AK50" s="5">
        <v>0.30996000000000001</v>
      </c>
      <c r="AL50" s="5">
        <v>0.92681400000000003</v>
      </c>
    </row>
    <row r="51" spans="1:38" x14ac:dyDescent="0.25">
      <c r="D51" t="s">
        <v>0</v>
      </c>
      <c r="E51" t="s">
        <v>0</v>
      </c>
      <c r="F51" t="s">
        <v>0</v>
      </c>
      <c r="G51" t="s">
        <v>0</v>
      </c>
      <c r="H51" t="s">
        <v>0</v>
      </c>
      <c r="I51" s="5" t="s">
        <v>0</v>
      </c>
      <c r="J51" t="s">
        <v>0</v>
      </c>
      <c r="K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s="5" t="s">
        <v>0</v>
      </c>
      <c r="X51" t="s">
        <v>0</v>
      </c>
      <c r="Y51" t="s">
        <v>0</v>
      </c>
      <c r="AB51" t="s">
        <v>23</v>
      </c>
      <c r="AC51">
        <v>50</v>
      </c>
      <c r="AD51">
        <v>0.4</v>
      </c>
      <c r="AE51" s="5">
        <v>0.46375100000000002</v>
      </c>
      <c r="AF51" s="14">
        <v>12.4</v>
      </c>
      <c r="AG51" s="14">
        <v>0.6</v>
      </c>
      <c r="AH51" s="14">
        <v>4.4000000000000004</v>
      </c>
      <c r="AI51" s="14">
        <v>668.6</v>
      </c>
      <c r="AJ51" s="5">
        <v>0.44351099999999999</v>
      </c>
      <c r="AK51" s="5">
        <v>0.43724000000000002</v>
      </c>
      <c r="AL51" s="5">
        <v>0.86179099999999997</v>
      </c>
    </row>
    <row r="52" spans="1:38" x14ac:dyDescent="0.25">
      <c r="A52" t="s">
        <v>1</v>
      </c>
      <c r="B52" t="s">
        <v>2</v>
      </c>
      <c r="C52" t="s">
        <v>13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s="5" t="s">
        <v>8</v>
      </c>
      <c r="J52" t="s">
        <v>9</v>
      </c>
      <c r="K52" t="s">
        <v>10</v>
      </c>
      <c r="O52" t="s">
        <v>1</v>
      </c>
      <c r="P52" t="s">
        <v>2</v>
      </c>
      <c r="Q52" t="s">
        <v>13</v>
      </c>
      <c r="R52" t="s">
        <v>3</v>
      </c>
      <c r="S52" t="s">
        <v>4</v>
      </c>
      <c r="T52" t="s">
        <v>5</v>
      </c>
      <c r="U52" t="s">
        <v>6</v>
      </c>
      <c r="V52" t="s">
        <v>7</v>
      </c>
      <c r="W52" s="5" t="s">
        <v>8</v>
      </c>
      <c r="X52" t="s">
        <v>9</v>
      </c>
      <c r="Y52" t="s">
        <v>10</v>
      </c>
      <c r="AB52" t="s">
        <v>23</v>
      </c>
      <c r="AC52">
        <v>50</v>
      </c>
      <c r="AD52">
        <v>0.5</v>
      </c>
      <c r="AE52" s="5">
        <v>0.46375100000000002</v>
      </c>
      <c r="AF52" s="14">
        <v>8.8000000000000007</v>
      </c>
      <c r="AG52" s="14">
        <v>1.2</v>
      </c>
      <c r="AH52" s="14">
        <v>3.8</v>
      </c>
      <c r="AI52" s="14">
        <v>672.2</v>
      </c>
      <c r="AJ52" s="5">
        <v>0.46296900000000002</v>
      </c>
      <c r="AK52" s="5">
        <v>0.45735500000000001</v>
      </c>
      <c r="AL52" s="5">
        <v>0.74707800000000002</v>
      </c>
    </row>
    <row r="53" spans="1:38" x14ac:dyDescent="0.25">
      <c r="A53" t="s">
        <v>11</v>
      </c>
      <c r="B53">
        <v>40</v>
      </c>
      <c r="C53">
        <v>0.1</v>
      </c>
      <c r="D53">
        <f t="shared" ref="D53:D61" si="56">AE39</f>
        <v>0.48866999999999999</v>
      </c>
      <c r="E53">
        <f t="shared" ref="E53:E61" si="57">AF39</f>
        <v>58.4</v>
      </c>
      <c r="F53">
        <f t="shared" ref="F53:F61" si="58">AG39</f>
        <v>0</v>
      </c>
      <c r="G53">
        <f t="shared" ref="G53:G61" si="59">AH39</f>
        <v>5</v>
      </c>
      <c r="H53">
        <f t="shared" ref="H53:H61" si="60">AI39</f>
        <v>622.6</v>
      </c>
      <c r="I53" s="5">
        <f t="shared" ref="I53:I61" si="61">AJ39</f>
        <v>0.14652100000000001</v>
      </c>
      <c r="J53">
        <f t="shared" ref="J53:J61" si="62">AK39</f>
        <v>0.13483300000000001</v>
      </c>
      <c r="K53">
        <f t="shared" ref="K53:K61" si="63">AL39</f>
        <v>0.91424399999999995</v>
      </c>
      <c r="O53" t="s">
        <v>17</v>
      </c>
      <c r="P53">
        <v>40</v>
      </c>
      <c r="Q53">
        <v>0.1</v>
      </c>
      <c r="R53">
        <f t="shared" ref="R53:R61" si="64">AE120</f>
        <v>0.484238</v>
      </c>
      <c r="S53">
        <f t="shared" ref="S53:S61" si="65">AF120</f>
        <v>58.4</v>
      </c>
      <c r="T53">
        <f t="shared" ref="T53:T61" si="66">AG120</f>
        <v>0</v>
      </c>
      <c r="U53">
        <f t="shared" ref="U53:U61" si="67">AH120</f>
        <v>5</v>
      </c>
      <c r="V53">
        <f t="shared" ref="V53:V61" si="68">AI120</f>
        <v>622.6</v>
      </c>
      <c r="W53" s="5">
        <f t="shared" ref="W53:W61" si="69">AJ120</f>
        <v>0.14669299999999999</v>
      </c>
      <c r="X53">
        <f t="shared" ref="X53:X61" si="70">AK120</f>
        <v>0.13500799999999999</v>
      </c>
      <c r="Y53">
        <f t="shared" ref="Y53:Y61" si="71">AL120</f>
        <v>0.91424399999999995</v>
      </c>
      <c r="AB53" t="s">
        <v>23</v>
      </c>
      <c r="AC53">
        <v>50</v>
      </c>
      <c r="AD53">
        <v>0.6</v>
      </c>
      <c r="AE53" s="5">
        <v>0.46375100000000002</v>
      </c>
      <c r="AF53" s="14">
        <v>5.8</v>
      </c>
      <c r="AG53" s="14">
        <v>2.4</v>
      </c>
      <c r="AH53" s="14">
        <v>2.6</v>
      </c>
      <c r="AI53" s="14">
        <v>675.2</v>
      </c>
      <c r="AJ53" s="5">
        <v>0.40987000000000001</v>
      </c>
      <c r="AK53" s="5">
        <v>0.40466099999999999</v>
      </c>
      <c r="AL53" s="5">
        <v>0.51148300000000002</v>
      </c>
    </row>
    <row r="54" spans="1:38" x14ac:dyDescent="0.25">
      <c r="A54" t="s">
        <v>11</v>
      </c>
      <c r="B54">
        <v>40</v>
      </c>
      <c r="C54">
        <v>0.2</v>
      </c>
      <c r="D54">
        <f t="shared" si="56"/>
        <v>0.48866999999999999</v>
      </c>
      <c r="E54">
        <f t="shared" si="57"/>
        <v>28.8</v>
      </c>
      <c r="F54">
        <f t="shared" si="58"/>
        <v>0</v>
      </c>
      <c r="G54">
        <f t="shared" si="59"/>
        <v>5</v>
      </c>
      <c r="H54">
        <f t="shared" si="60"/>
        <v>652.20000000000005</v>
      </c>
      <c r="I54" s="5">
        <f t="shared" si="61"/>
        <v>0.26329999999999998</v>
      </c>
      <c r="J54">
        <f t="shared" si="62"/>
        <v>0.25384499999999999</v>
      </c>
      <c r="K54">
        <f t="shared" si="63"/>
        <v>0.95770900000000003</v>
      </c>
      <c r="O54" t="s">
        <v>17</v>
      </c>
      <c r="P54">
        <v>40</v>
      </c>
      <c r="Q54">
        <v>0.2</v>
      </c>
      <c r="R54">
        <f t="shared" si="64"/>
        <v>0.484238</v>
      </c>
      <c r="S54">
        <f t="shared" si="65"/>
        <v>25.4</v>
      </c>
      <c r="T54">
        <f t="shared" si="66"/>
        <v>0</v>
      </c>
      <c r="U54">
        <f t="shared" si="67"/>
        <v>5</v>
      </c>
      <c r="V54">
        <f t="shared" si="68"/>
        <v>655.6</v>
      </c>
      <c r="W54" s="5">
        <f t="shared" si="69"/>
        <v>0.28282800000000002</v>
      </c>
      <c r="X54">
        <f t="shared" si="70"/>
        <v>0.27373799999999998</v>
      </c>
      <c r="Y54">
        <f t="shared" si="71"/>
        <v>0.96270199999999995</v>
      </c>
      <c r="AB54" t="s">
        <v>23</v>
      </c>
      <c r="AC54">
        <v>50</v>
      </c>
      <c r="AD54">
        <v>0.7</v>
      </c>
      <c r="AE54" s="5">
        <v>0.46375100000000002</v>
      </c>
      <c r="AF54" s="14">
        <v>4.2</v>
      </c>
      <c r="AG54" s="14">
        <v>3.4</v>
      </c>
      <c r="AH54" s="14">
        <v>1.6</v>
      </c>
      <c r="AI54" s="14">
        <v>676.8</v>
      </c>
      <c r="AJ54" s="5">
        <v>0.28755999999999998</v>
      </c>
      <c r="AK54" s="5">
        <v>0.28325600000000001</v>
      </c>
      <c r="AL54" s="5">
        <v>0.31383299999999997</v>
      </c>
    </row>
    <row r="55" spans="1:38" x14ac:dyDescent="0.25">
      <c r="A55" t="s">
        <v>11</v>
      </c>
      <c r="B55">
        <v>40</v>
      </c>
      <c r="C55">
        <v>0.3</v>
      </c>
      <c r="D55">
        <f t="shared" si="56"/>
        <v>0.48866999999999999</v>
      </c>
      <c r="E55">
        <f t="shared" si="57"/>
        <v>16.600000000000001</v>
      </c>
      <c r="F55">
        <f t="shared" si="58"/>
        <v>0</v>
      </c>
      <c r="G55">
        <f t="shared" si="59"/>
        <v>5</v>
      </c>
      <c r="H55">
        <f t="shared" si="60"/>
        <v>664.4</v>
      </c>
      <c r="I55" s="5">
        <f t="shared" si="61"/>
        <v>0.38322299999999998</v>
      </c>
      <c r="J55">
        <f t="shared" si="62"/>
        <v>0.37584699999999999</v>
      </c>
      <c r="K55">
        <f t="shared" si="63"/>
        <v>0.97562400000000005</v>
      </c>
      <c r="O55" t="s">
        <v>17</v>
      </c>
      <c r="P55">
        <v>40</v>
      </c>
      <c r="Q55">
        <v>0.3</v>
      </c>
      <c r="R55">
        <f t="shared" si="64"/>
        <v>0.484238</v>
      </c>
      <c r="S55">
        <f t="shared" si="65"/>
        <v>17.8</v>
      </c>
      <c r="T55">
        <f t="shared" si="66"/>
        <v>0</v>
      </c>
      <c r="U55">
        <f t="shared" si="67"/>
        <v>5</v>
      </c>
      <c r="V55">
        <f t="shared" si="68"/>
        <v>663.2</v>
      </c>
      <c r="W55" s="5">
        <f t="shared" si="69"/>
        <v>0.359788</v>
      </c>
      <c r="X55">
        <f t="shared" si="70"/>
        <v>0.35204200000000002</v>
      </c>
      <c r="Y55">
        <f t="shared" si="71"/>
        <v>0.97386200000000001</v>
      </c>
      <c r="AB55" t="s">
        <v>23</v>
      </c>
      <c r="AC55">
        <v>50</v>
      </c>
      <c r="AD55">
        <v>0.8</v>
      </c>
      <c r="AE55" s="5">
        <v>0.46375100000000002</v>
      </c>
      <c r="AF55" s="14">
        <v>2.4</v>
      </c>
      <c r="AG55" s="14">
        <v>3.8</v>
      </c>
      <c r="AH55" s="14">
        <v>1.2</v>
      </c>
      <c r="AI55" s="14">
        <v>678.6</v>
      </c>
      <c r="AJ55" s="5">
        <v>0.23042699999999999</v>
      </c>
      <c r="AK55" s="5">
        <v>0.22708100000000001</v>
      </c>
      <c r="AL55" s="5">
        <v>0.23676900000000001</v>
      </c>
    </row>
    <row r="56" spans="1:38" x14ac:dyDescent="0.25">
      <c r="A56" t="s">
        <v>11</v>
      </c>
      <c r="B56">
        <v>40</v>
      </c>
      <c r="C56">
        <v>0.4</v>
      </c>
      <c r="D56">
        <f t="shared" si="56"/>
        <v>0.48866999999999999</v>
      </c>
      <c r="E56">
        <f t="shared" si="57"/>
        <v>10.199999999999999</v>
      </c>
      <c r="F56">
        <f t="shared" si="58"/>
        <v>0.2</v>
      </c>
      <c r="G56">
        <f t="shared" si="59"/>
        <v>4.8</v>
      </c>
      <c r="H56">
        <f t="shared" si="60"/>
        <v>670.8</v>
      </c>
      <c r="I56" s="5">
        <f t="shared" si="61"/>
        <v>0.49683300000000002</v>
      </c>
      <c r="J56">
        <f t="shared" si="62"/>
        <v>0.49125999999999997</v>
      </c>
      <c r="K56">
        <f t="shared" si="63"/>
        <v>0.94502200000000003</v>
      </c>
      <c r="O56" t="s">
        <v>17</v>
      </c>
      <c r="P56">
        <v>40</v>
      </c>
      <c r="Q56">
        <v>0.4</v>
      </c>
      <c r="R56">
        <f t="shared" si="64"/>
        <v>0.484238</v>
      </c>
      <c r="S56">
        <f t="shared" si="65"/>
        <v>12.6</v>
      </c>
      <c r="T56">
        <f t="shared" si="66"/>
        <v>0</v>
      </c>
      <c r="U56">
        <f t="shared" si="67"/>
        <v>5</v>
      </c>
      <c r="V56">
        <f t="shared" si="68"/>
        <v>668.4</v>
      </c>
      <c r="W56" s="5">
        <f t="shared" si="69"/>
        <v>0.44301699999999999</v>
      </c>
      <c r="X56">
        <f t="shared" si="70"/>
        <v>0.43662200000000001</v>
      </c>
      <c r="Y56">
        <f t="shared" si="71"/>
        <v>0.98149799999999998</v>
      </c>
      <c r="AB56" t="s">
        <v>23</v>
      </c>
      <c r="AC56">
        <v>50</v>
      </c>
      <c r="AD56">
        <v>0.9</v>
      </c>
      <c r="AE56" s="5">
        <v>0.46375100000000002</v>
      </c>
      <c r="AF56" s="14">
        <v>1</v>
      </c>
      <c r="AG56" s="14">
        <v>4.4000000000000004</v>
      </c>
      <c r="AH56" s="14">
        <v>0.6</v>
      </c>
      <c r="AI56" s="14">
        <v>680</v>
      </c>
      <c r="AJ56" s="5">
        <v>0.13714299999999999</v>
      </c>
      <c r="AK56" s="5">
        <v>0.13517699999999999</v>
      </c>
      <c r="AL56" s="5">
        <v>0.118825</v>
      </c>
    </row>
    <row r="57" spans="1:38" x14ac:dyDescent="0.25">
      <c r="A57" s="4" t="s">
        <v>11</v>
      </c>
      <c r="B57" s="4">
        <v>40</v>
      </c>
      <c r="C57" s="4">
        <v>0.5</v>
      </c>
      <c r="D57" s="4">
        <f t="shared" si="56"/>
        <v>0.48866999999999999</v>
      </c>
      <c r="E57" s="4">
        <f t="shared" si="57"/>
        <v>7.8</v>
      </c>
      <c r="F57" s="4">
        <f t="shared" si="58"/>
        <v>1.6</v>
      </c>
      <c r="G57" s="4">
        <f t="shared" si="59"/>
        <v>3.4</v>
      </c>
      <c r="H57" s="4">
        <f t="shared" si="60"/>
        <v>673.2</v>
      </c>
      <c r="I57" s="6">
        <f t="shared" si="61"/>
        <v>0.42932100000000001</v>
      </c>
      <c r="J57" s="4">
        <f t="shared" si="62"/>
        <v>0.42355399999999999</v>
      </c>
      <c r="K57" s="4">
        <f t="shared" si="63"/>
        <v>0.66854599999999997</v>
      </c>
      <c r="O57" s="4" t="s">
        <v>17</v>
      </c>
      <c r="P57" s="4">
        <v>40</v>
      </c>
      <c r="Q57" s="4">
        <v>0.5</v>
      </c>
      <c r="R57" s="4">
        <f t="shared" si="64"/>
        <v>0.484238</v>
      </c>
      <c r="S57" s="4">
        <f t="shared" si="65"/>
        <v>5.8</v>
      </c>
      <c r="T57" s="4">
        <f t="shared" si="66"/>
        <v>1</v>
      </c>
      <c r="U57" s="4">
        <f t="shared" si="67"/>
        <v>4</v>
      </c>
      <c r="V57" s="4">
        <f t="shared" si="68"/>
        <v>675.2</v>
      </c>
      <c r="W57" s="6">
        <f t="shared" si="69"/>
        <v>0.54095199999999999</v>
      </c>
      <c r="X57" s="4">
        <f t="shared" si="70"/>
        <v>0.53647800000000001</v>
      </c>
      <c r="Y57" s="4">
        <f t="shared" si="71"/>
        <v>0.79148300000000005</v>
      </c>
      <c r="AB57" t="s">
        <v>23</v>
      </c>
      <c r="AC57">
        <v>60</v>
      </c>
      <c r="AD57">
        <v>0.1</v>
      </c>
      <c r="AE57" s="5">
        <v>0.42891099999999999</v>
      </c>
      <c r="AF57" s="14">
        <v>191</v>
      </c>
      <c r="AG57" s="14">
        <v>0</v>
      </c>
      <c r="AH57" s="14">
        <v>5</v>
      </c>
      <c r="AI57" s="14">
        <v>490</v>
      </c>
      <c r="AJ57" s="5">
        <v>8.9853000000000002E-2</v>
      </c>
      <c r="AK57" s="5">
        <v>7.6973E-2</v>
      </c>
      <c r="AL57" s="5">
        <v>0.71953</v>
      </c>
    </row>
    <row r="58" spans="1:38" x14ac:dyDescent="0.25">
      <c r="A58" t="s">
        <v>11</v>
      </c>
      <c r="B58">
        <v>40</v>
      </c>
      <c r="C58">
        <v>0.6</v>
      </c>
      <c r="D58">
        <f t="shared" si="56"/>
        <v>0.48866999999999999</v>
      </c>
      <c r="E58">
        <f t="shared" si="57"/>
        <v>4.8</v>
      </c>
      <c r="F58">
        <f t="shared" si="58"/>
        <v>2.4</v>
      </c>
      <c r="G58">
        <f t="shared" si="59"/>
        <v>2.6</v>
      </c>
      <c r="H58">
        <f t="shared" si="60"/>
        <v>676.2</v>
      </c>
      <c r="I58" s="5">
        <f t="shared" si="61"/>
        <v>0.421232</v>
      </c>
      <c r="J58">
        <f t="shared" si="62"/>
        <v>0.41627199999999998</v>
      </c>
      <c r="K58">
        <f t="shared" si="63"/>
        <v>0.51295199999999996</v>
      </c>
      <c r="O58" t="s">
        <v>17</v>
      </c>
      <c r="P58">
        <v>40</v>
      </c>
      <c r="Q58">
        <v>0.6</v>
      </c>
      <c r="R58">
        <f t="shared" si="64"/>
        <v>0.484238</v>
      </c>
      <c r="S58">
        <f t="shared" si="65"/>
        <v>0.2</v>
      </c>
      <c r="T58">
        <f t="shared" si="66"/>
        <v>4.8</v>
      </c>
      <c r="U58">
        <f t="shared" si="67"/>
        <v>0.2</v>
      </c>
      <c r="V58">
        <f t="shared" si="68"/>
        <v>680.8</v>
      </c>
      <c r="W58" s="5">
        <f t="shared" si="69"/>
        <v>5.7142999999999999E-2</v>
      </c>
      <c r="X58">
        <f t="shared" si="70"/>
        <v>5.6544999999999998E-2</v>
      </c>
      <c r="Y58">
        <f t="shared" si="71"/>
        <v>3.9705999999999998E-2</v>
      </c>
      <c r="AB58" t="s">
        <v>23</v>
      </c>
      <c r="AC58">
        <v>60</v>
      </c>
      <c r="AD58">
        <v>0.2</v>
      </c>
      <c r="AE58" s="5">
        <v>0.42891099999999999</v>
      </c>
      <c r="AF58" s="14">
        <v>48.2</v>
      </c>
      <c r="AG58" s="14">
        <v>0</v>
      </c>
      <c r="AH58" s="14">
        <v>5</v>
      </c>
      <c r="AI58" s="14">
        <v>632.79999999999995</v>
      </c>
      <c r="AJ58" s="5">
        <v>0.19222800000000001</v>
      </c>
      <c r="AK58" s="5">
        <v>0.18140200000000001</v>
      </c>
      <c r="AL58" s="5">
        <v>0.92922199999999999</v>
      </c>
    </row>
    <row r="59" spans="1:38" x14ac:dyDescent="0.25">
      <c r="A59" t="s">
        <v>11</v>
      </c>
      <c r="B59">
        <v>40</v>
      </c>
      <c r="C59">
        <v>0.7</v>
      </c>
      <c r="D59">
        <f t="shared" si="56"/>
        <v>0.48866999999999999</v>
      </c>
      <c r="E59">
        <f t="shared" si="57"/>
        <v>2.8</v>
      </c>
      <c r="F59">
        <f t="shared" si="58"/>
        <v>3.2</v>
      </c>
      <c r="G59">
        <f t="shared" si="59"/>
        <v>1.8</v>
      </c>
      <c r="H59">
        <f t="shared" si="60"/>
        <v>678.2</v>
      </c>
      <c r="I59" s="5">
        <f t="shared" si="61"/>
        <v>0.37868099999999999</v>
      </c>
      <c r="J59">
        <f t="shared" si="62"/>
        <v>0.37451899999999999</v>
      </c>
      <c r="K59">
        <f t="shared" si="63"/>
        <v>0.35588799999999998</v>
      </c>
      <c r="O59" t="s">
        <v>17</v>
      </c>
      <c r="P59">
        <v>40</v>
      </c>
      <c r="Q59">
        <v>0.7</v>
      </c>
      <c r="R59">
        <f t="shared" si="64"/>
        <v>0.484238</v>
      </c>
      <c r="S59">
        <f t="shared" si="65"/>
        <v>0</v>
      </c>
      <c r="T59">
        <f t="shared" si="66"/>
        <v>5</v>
      </c>
      <c r="U59">
        <f t="shared" si="67"/>
        <v>0</v>
      </c>
      <c r="V59">
        <f t="shared" si="68"/>
        <v>681</v>
      </c>
      <c r="W59" s="5">
        <f t="shared" si="69"/>
        <v>0</v>
      </c>
      <c r="X59">
        <f t="shared" si="70"/>
        <v>0</v>
      </c>
      <c r="Y59">
        <f t="shared" si="71"/>
        <v>0</v>
      </c>
      <c r="AB59" t="s">
        <v>23</v>
      </c>
      <c r="AC59">
        <v>60</v>
      </c>
      <c r="AD59">
        <v>0.3</v>
      </c>
      <c r="AE59" s="5">
        <v>0.42891099999999999</v>
      </c>
      <c r="AF59" s="14">
        <v>28</v>
      </c>
      <c r="AG59" s="14">
        <v>0.4</v>
      </c>
      <c r="AH59" s="14">
        <v>4.5999999999999996</v>
      </c>
      <c r="AI59" s="14">
        <v>653</v>
      </c>
      <c r="AJ59" s="5">
        <v>0.26643</v>
      </c>
      <c r="AK59" s="5">
        <v>0.25713399999999997</v>
      </c>
      <c r="AL59" s="5">
        <v>0.878884</v>
      </c>
    </row>
    <row r="60" spans="1:38" x14ac:dyDescent="0.25">
      <c r="A60" t="s">
        <v>11</v>
      </c>
      <c r="B60">
        <v>40</v>
      </c>
      <c r="C60">
        <v>0.8</v>
      </c>
      <c r="D60">
        <f t="shared" si="56"/>
        <v>0.48866999999999999</v>
      </c>
      <c r="E60">
        <f t="shared" si="57"/>
        <v>1.6</v>
      </c>
      <c r="F60">
        <f t="shared" si="58"/>
        <v>3.6</v>
      </c>
      <c r="G60">
        <f t="shared" si="59"/>
        <v>1.4</v>
      </c>
      <c r="H60">
        <f t="shared" si="60"/>
        <v>679.4</v>
      </c>
      <c r="I60" s="5">
        <f t="shared" si="61"/>
        <v>0.31875900000000001</v>
      </c>
      <c r="J60">
        <f t="shared" si="62"/>
        <v>0.31586700000000001</v>
      </c>
      <c r="K60">
        <f t="shared" si="63"/>
        <v>0.27765099999999998</v>
      </c>
      <c r="O60" t="s">
        <v>17</v>
      </c>
      <c r="P60">
        <v>40</v>
      </c>
      <c r="Q60">
        <v>0.8</v>
      </c>
      <c r="R60">
        <f t="shared" si="64"/>
        <v>0.484238</v>
      </c>
      <c r="S60">
        <f t="shared" si="65"/>
        <v>0</v>
      </c>
      <c r="T60">
        <f t="shared" si="66"/>
        <v>5</v>
      </c>
      <c r="U60">
        <f t="shared" si="67"/>
        <v>0</v>
      </c>
      <c r="V60">
        <f t="shared" si="68"/>
        <v>681</v>
      </c>
      <c r="W60" s="5">
        <f t="shared" si="69"/>
        <v>0</v>
      </c>
      <c r="X60">
        <f t="shared" si="70"/>
        <v>0</v>
      </c>
      <c r="Y60">
        <f t="shared" si="71"/>
        <v>0</v>
      </c>
      <c r="AB60" t="s">
        <v>23</v>
      </c>
      <c r="AC60">
        <v>60</v>
      </c>
      <c r="AD60">
        <v>0.4</v>
      </c>
      <c r="AE60" s="5">
        <v>0.42891099999999999</v>
      </c>
      <c r="AF60" s="14">
        <v>19.600000000000001</v>
      </c>
      <c r="AG60" s="14">
        <v>0.6</v>
      </c>
      <c r="AH60" s="14">
        <v>4.4000000000000004</v>
      </c>
      <c r="AI60" s="14">
        <v>661.4</v>
      </c>
      <c r="AJ60" s="5">
        <v>0.33733999999999997</v>
      </c>
      <c r="AK60" s="5">
        <v>0.32935399999999998</v>
      </c>
      <c r="AL60" s="5">
        <v>0.85121899999999995</v>
      </c>
    </row>
    <row r="61" spans="1:38" x14ac:dyDescent="0.25">
      <c r="A61" t="s">
        <v>11</v>
      </c>
      <c r="B61">
        <v>40</v>
      </c>
      <c r="C61">
        <v>0.9</v>
      </c>
      <c r="D61">
        <f t="shared" si="56"/>
        <v>0.48866999999999999</v>
      </c>
      <c r="E61">
        <f t="shared" si="57"/>
        <v>1</v>
      </c>
      <c r="F61">
        <f t="shared" si="58"/>
        <v>4.8</v>
      </c>
      <c r="G61">
        <f t="shared" si="59"/>
        <v>0.2</v>
      </c>
      <c r="H61">
        <f t="shared" si="60"/>
        <v>680</v>
      </c>
      <c r="I61" s="5">
        <f t="shared" si="61"/>
        <v>4.4443999999999997E-2</v>
      </c>
      <c r="J61">
        <f t="shared" si="62"/>
        <v>4.2456000000000001E-2</v>
      </c>
      <c r="K61">
        <f t="shared" si="63"/>
        <v>3.9119000000000001E-2</v>
      </c>
      <c r="O61" t="s">
        <v>17</v>
      </c>
      <c r="P61">
        <v>40</v>
      </c>
      <c r="Q61">
        <v>0.9</v>
      </c>
      <c r="R61">
        <f t="shared" si="64"/>
        <v>0.484238</v>
      </c>
      <c r="S61">
        <f t="shared" si="65"/>
        <v>0</v>
      </c>
      <c r="T61">
        <f t="shared" si="66"/>
        <v>5</v>
      </c>
      <c r="U61">
        <f t="shared" si="67"/>
        <v>0</v>
      </c>
      <c r="V61">
        <f t="shared" si="68"/>
        <v>681</v>
      </c>
      <c r="W61" s="5">
        <f t="shared" si="69"/>
        <v>0</v>
      </c>
      <c r="X61">
        <f t="shared" si="70"/>
        <v>0</v>
      </c>
      <c r="Y61">
        <f t="shared" si="71"/>
        <v>0</v>
      </c>
      <c r="AB61" t="s">
        <v>23</v>
      </c>
      <c r="AC61">
        <v>60</v>
      </c>
      <c r="AD61">
        <v>0.5</v>
      </c>
      <c r="AE61" s="5">
        <v>0.42891099999999999</v>
      </c>
      <c r="AF61" s="14">
        <v>11.6</v>
      </c>
      <c r="AG61" s="14">
        <v>1.2</v>
      </c>
      <c r="AH61" s="14">
        <v>3.8</v>
      </c>
      <c r="AI61" s="14">
        <v>669.4</v>
      </c>
      <c r="AJ61" s="5">
        <v>0.44092900000000002</v>
      </c>
      <c r="AK61" s="5">
        <v>0.43488599999999999</v>
      </c>
      <c r="AL61" s="5">
        <v>0.74296600000000002</v>
      </c>
    </row>
    <row r="62" spans="1:38" x14ac:dyDescent="0.25">
      <c r="AB62" t="s">
        <v>23</v>
      </c>
      <c r="AC62">
        <v>60</v>
      </c>
      <c r="AD62">
        <v>0.6</v>
      </c>
      <c r="AE62" s="5">
        <v>0.42891099999999999</v>
      </c>
      <c r="AF62" s="14">
        <v>7.6</v>
      </c>
      <c r="AG62" s="14">
        <v>2.6</v>
      </c>
      <c r="AH62" s="14">
        <v>2.4</v>
      </c>
      <c r="AI62" s="14">
        <v>673.4</v>
      </c>
      <c r="AJ62" s="5">
        <v>0.37333300000000003</v>
      </c>
      <c r="AK62" s="5">
        <v>0.36763800000000002</v>
      </c>
      <c r="AL62" s="5">
        <v>0.46883999999999998</v>
      </c>
    </row>
    <row r="63" spans="1:38" x14ac:dyDescent="0.25">
      <c r="AB63" t="s">
        <v>23</v>
      </c>
      <c r="AC63">
        <v>60</v>
      </c>
      <c r="AD63">
        <v>0.7</v>
      </c>
      <c r="AE63" s="5">
        <v>0.42891099999999999</v>
      </c>
      <c r="AF63" s="14">
        <v>5.6</v>
      </c>
      <c r="AG63" s="14">
        <v>3.6</v>
      </c>
      <c r="AH63" s="14">
        <v>1.4</v>
      </c>
      <c r="AI63" s="14">
        <v>675.4</v>
      </c>
      <c r="AJ63" s="5">
        <v>0.2</v>
      </c>
      <c r="AK63" s="5">
        <v>0.195079</v>
      </c>
      <c r="AL63" s="5">
        <v>0.27236399999999999</v>
      </c>
    </row>
    <row r="64" spans="1:38" x14ac:dyDescent="0.25">
      <c r="D64" t="s">
        <v>0</v>
      </c>
      <c r="E64" t="s">
        <v>0</v>
      </c>
      <c r="F64" t="s">
        <v>0</v>
      </c>
      <c r="G64" t="s">
        <v>0</v>
      </c>
      <c r="H64" t="s">
        <v>0</v>
      </c>
      <c r="I64" s="5" t="s">
        <v>0</v>
      </c>
      <c r="J64" t="s">
        <v>0</v>
      </c>
      <c r="K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s="5" t="s">
        <v>0</v>
      </c>
      <c r="X64" t="s">
        <v>0</v>
      </c>
      <c r="Y64" t="s">
        <v>0</v>
      </c>
      <c r="AB64" t="s">
        <v>23</v>
      </c>
      <c r="AC64">
        <v>60</v>
      </c>
      <c r="AD64">
        <v>0.8</v>
      </c>
      <c r="AE64" s="5">
        <v>0.42891099999999999</v>
      </c>
      <c r="AF64" s="14">
        <v>3</v>
      </c>
      <c r="AG64" s="14">
        <v>3.8</v>
      </c>
      <c r="AH64" s="14">
        <v>1.2</v>
      </c>
      <c r="AI64" s="14">
        <v>678</v>
      </c>
      <c r="AJ64" s="5">
        <v>0.215948</v>
      </c>
      <c r="AK64" s="5">
        <v>0.212752</v>
      </c>
      <c r="AL64" s="5">
        <v>0.235595</v>
      </c>
    </row>
    <row r="65" spans="1:38" x14ac:dyDescent="0.25">
      <c r="A65" t="s">
        <v>1</v>
      </c>
      <c r="B65" t="s">
        <v>2</v>
      </c>
      <c r="C65" t="s">
        <v>13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s="5" t="s">
        <v>8</v>
      </c>
      <c r="J65" t="s">
        <v>9</v>
      </c>
      <c r="K65" t="s">
        <v>10</v>
      </c>
      <c r="O65" t="s">
        <v>1</v>
      </c>
      <c r="P65" t="s">
        <v>2</v>
      </c>
      <c r="Q65" t="s">
        <v>13</v>
      </c>
      <c r="R65" t="s">
        <v>3</v>
      </c>
      <c r="S65" t="s">
        <v>4</v>
      </c>
      <c r="T65" t="s">
        <v>5</v>
      </c>
      <c r="U65" t="s">
        <v>6</v>
      </c>
      <c r="V65" t="s">
        <v>7</v>
      </c>
      <c r="W65" s="5" t="s">
        <v>8</v>
      </c>
      <c r="X65" t="s">
        <v>9</v>
      </c>
      <c r="Y65" t="s">
        <v>10</v>
      </c>
      <c r="AB65" t="s">
        <v>23</v>
      </c>
      <c r="AC65">
        <v>60</v>
      </c>
      <c r="AD65">
        <v>0.9</v>
      </c>
      <c r="AE65" s="5">
        <v>0.42891099999999999</v>
      </c>
      <c r="AF65" s="14">
        <v>1.4</v>
      </c>
      <c r="AG65" s="14">
        <v>4.4000000000000004</v>
      </c>
      <c r="AH65" s="14">
        <v>0.6</v>
      </c>
      <c r="AI65" s="14">
        <v>679.6</v>
      </c>
      <c r="AJ65" s="5">
        <v>0.12381</v>
      </c>
      <c r="AK65" s="5">
        <v>0.12158099999999999</v>
      </c>
      <c r="AL65" s="5">
        <v>0.118238</v>
      </c>
    </row>
    <row r="66" spans="1:38" x14ac:dyDescent="0.25">
      <c r="A66" t="s">
        <v>11</v>
      </c>
      <c r="B66">
        <v>50</v>
      </c>
      <c r="C66">
        <v>0.1</v>
      </c>
      <c r="D66">
        <f t="shared" ref="D66:D74" si="72">AE48</f>
        <v>0.46375100000000002</v>
      </c>
      <c r="E66">
        <f t="shared" ref="E66:E74" si="73">AF48</f>
        <v>80.2</v>
      </c>
      <c r="F66">
        <f t="shared" ref="F66:F74" si="74">AG48</f>
        <v>0</v>
      </c>
      <c r="G66">
        <f t="shared" ref="G66:G74" si="75">AH48</f>
        <v>5</v>
      </c>
      <c r="H66">
        <f t="shared" ref="H66:H74" si="76">AI48</f>
        <v>600.79999999999995</v>
      </c>
      <c r="I66" s="5">
        <f t="shared" ref="I66:I74" si="77">AJ48</f>
        <v>0.126027</v>
      </c>
      <c r="J66">
        <f t="shared" ref="J66:J74" si="78">AK48</f>
        <v>0.113902</v>
      </c>
      <c r="K66">
        <f t="shared" ref="K66:K74" si="79">AL48</f>
        <v>0.88223200000000002</v>
      </c>
      <c r="O66" t="s">
        <v>17</v>
      </c>
      <c r="P66">
        <v>50</v>
      </c>
      <c r="Q66">
        <v>0.1</v>
      </c>
      <c r="R66">
        <f t="shared" ref="R66:R74" si="80">AE129</f>
        <v>0.474466</v>
      </c>
      <c r="S66">
        <f t="shared" ref="S66:S74" si="81">AF129</f>
        <v>69</v>
      </c>
      <c r="T66">
        <f t="shared" ref="T66:T74" si="82">AG129</f>
        <v>0</v>
      </c>
      <c r="U66">
        <f t="shared" ref="U66:U74" si="83">AH129</f>
        <v>5</v>
      </c>
      <c r="V66">
        <f t="shared" ref="V66:V74" si="84">AI129</f>
        <v>612</v>
      </c>
      <c r="W66" s="5">
        <f t="shared" ref="W66:W74" si="85">AJ129</f>
        <v>0.12689800000000001</v>
      </c>
      <c r="X66">
        <f t="shared" ref="X66:X74" si="86">AK129</f>
        <v>0.114813</v>
      </c>
      <c r="Y66">
        <f t="shared" ref="Y66:Y74" si="87">AL129</f>
        <v>0.89867799999999998</v>
      </c>
      <c r="AB66" t="s">
        <v>23</v>
      </c>
      <c r="AC66">
        <v>70</v>
      </c>
      <c r="AD66">
        <v>0.1</v>
      </c>
      <c r="AE66" s="5">
        <v>0.38109799999999999</v>
      </c>
      <c r="AF66" s="14">
        <v>342.2</v>
      </c>
      <c r="AG66" s="14">
        <v>0</v>
      </c>
      <c r="AH66" s="14">
        <v>5</v>
      </c>
      <c r="AI66" s="14">
        <v>338.8</v>
      </c>
      <c r="AJ66" s="5">
        <v>5.6564000000000003E-2</v>
      </c>
      <c r="AK66" s="5">
        <v>4.2997E-2</v>
      </c>
      <c r="AL66" s="5">
        <v>0.497504</v>
      </c>
    </row>
    <row r="67" spans="1:38" x14ac:dyDescent="0.25">
      <c r="A67" t="s">
        <v>11</v>
      </c>
      <c r="B67">
        <v>50</v>
      </c>
      <c r="C67">
        <v>0.2</v>
      </c>
      <c r="D67">
        <f t="shared" si="72"/>
        <v>0.46375100000000002</v>
      </c>
      <c r="E67">
        <f t="shared" si="73"/>
        <v>33</v>
      </c>
      <c r="F67">
        <f t="shared" si="74"/>
        <v>0</v>
      </c>
      <c r="G67">
        <f t="shared" si="75"/>
        <v>5</v>
      </c>
      <c r="H67">
        <f t="shared" si="76"/>
        <v>648</v>
      </c>
      <c r="I67" s="5">
        <f t="shared" si="77"/>
        <v>0.249219</v>
      </c>
      <c r="J67">
        <f t="shared" si="78"/>
        <v>0.239478</v>
      </c>
      <c r="K67">
        <f t="shared" si="79"/>
        <v>0.951542</v>
      </c>
      <c r="O67" t="s">
        <v>17</v>
      </c>
      <c r="P67">
        <v>50</v>
      </c>
      <c r="Q67">
        <v>0.2</v>
      </c>
      <c r="R67">
        <f t="shared" si="80"/>
        <v>0.474466</v>
      </c>
      <c r="S67">
        <f t="shared" si="81"/>
        <v>31.2</v>
      </c>
      <c r="T67">
        <f t="shared" si="82"/>
        <v>0</v>
      </c>
      <c r="U67">
        <f t="shared" si="83"/>
        <v>5</v>
      </c>
      <c r="V67">
        <f t="shared" si="84"/>
        <v>649.79999999999995</v>
      </c>
      <c r="W67" s="5">
        <f t="shared" si="85"/>
        <v>0.243871</v>
      </c>
      <c r="X67">
        <f t="shared" si="86"/>
        <v>0.234065</v>
      </c>
      <c r="Y67">
        <f t="shared" si="87"/>
        <v>0.95418499999999995</v>
      </c>
      <c r="AB67" t="s">
        <v>23</v>
      </c>
      <c r="AC67">
        <v>70</v>
      </c>
      <c r="AD67">
        <v>0.2</v>
      </c>
      <c r="AE67" s="5">
        <v>0.38109799999999999</v>
      </c>
      <c r="AF67" s="14">
        <v>204.4</v>
      </c>
      <c r="AG67" s="14">
        <v>0.2</v>
      </c>
      <c r="AH67" s="14">
        <v>4.8</v>
      </c>
      <c r="AI67" s="14">
        <v>476.6</v>
      </c>
      <c r="AJ67" s="5">
        <v>0.11307200000000001</v>
      </c>
      <c r="AK67" s="5">
        <v>0.10066899999999999</v>
      </c>
      <c r="AL67" s="5">
        <v>0.65985300000000002</v>
      </c>
    </row>
    <row r="68" spans="1:38" x14ac:dyDescent="0.25">
      <c r="A68" t="s">
        <v>11</v>
      </c>
      <c r="B68">
        <v>50</v>
      </c>
      <c r="C68">
        <v>0.3</v>
      </c>
      <c r="D68">
        <f t="shared" si="72"/>
        <v>0.46375100000000002</v>
      </c>
      <c r="E68">
        <f t="shared" si="73"/>
        <v>22.6</v>
      </c>
      <c r="F68">
        <f t="shared" si="74"/>
        <v>0.2</v>
      </c>
      <c r="G68">
        <f t="shared" si="75"/>
        <v>4.8</v>
      </c>
      <c r="H68">
        <f t="shared" si="76"/>
        <v>658.4</v>
      </c>
      <c r="I68" s="5">
        <f t="shared" si="77"/>
        <v>0.31842199999999998</v>
      </c>
      <c r="J68">
        <f t="shared" si="78"/>
        <v>0.30996000000000001</v>
      </c>
      <c r="K68">
        <f t="shared" si="79"/>
        <v>0.92681400000000003</v>
      </c>
      <c r="O68" t="s">
        <v>17</v>
      </c>
      <c r="P68">
        <v>50</v>
      </c>
      <c r="Q68">
        <v>0.3</v>
      </c>
      <c r="R68">
        <f t="shared" si="80"/>
        <v>0.474466</v>
      </c>
      <c r="S68">
        <f t="shared" si="81"/>
        <v>19.600000000000001</v>
      </c>
      <c r="T68">
        <f t="shared" si="82"/>
        <v>0</v>
      </c>
      <c r="U68">
        <f t="shared" si="83"/>
        <v>5</v>
      </c>
      <c r="V68">
        <f t="shared" si="84"/>
        <v>661.4</v>
      </c>
      <c r="W68" s="5">
        <f t="shared" si="85"/>
        <v>0.33809499999999998</v>
      </c>
      <c r="X68">
        <f t="shared" si="86"/>
        <v>0.32997900000000002</v>
      </c>
      <c r="Y68">
        <f t="shared" si="87"/>
        <v>0.97121900000000005</v>
      </c>
      <c r="AB68" t="s">
        <v>23</v>
      </c>
      <c r="AC68">
        <v>70</v>
      </c>
      <c r="AD68">
        <v>0.3</v>
      </c>
      <c r="AE68" s="5">
        <v>0.38109799999999999</v>
      </c>
      <c r="AF68" s="14">
        <v>61.6</v>
      </c>
      <c r="AG68" s="14">
        <v>0.4</v>
      </c>
      <c r="AH68" s="14">
        <v>4.5999999999999996</v>
      </c>
      <c r="AI68" s="14">
        <v>619.4</v>
      </c>
      <c r="AJ68" s="5">
        <v>0.184503</v>
      </c>
      <c r="AK68" s="5">
        <v>0.17361599999999999</v>
      </c>
      <c r="AL68" s="5">
        <v>0.82954499999999998</v>
      </c>
    </row>
    <row r="69" spans="1:38" x14ac:dyDescent="0.25">
      <c r="A69" t="s">
        <v>11</v>
      </c>
      <c r="B69">
        <v>50</v>
      </c>
      <c r="C69">
        <v>0.4</v>
      </c>
      <c r="D69">
        <f t="shared" si="72"/>
        <v>0.46375100000000002</v>
      </c>
      <c r="E69">
        <f t="shared" si="73"/>
        <v>12.4</v>
      </c>
      <c r="F69">
        <f t="shared" si="74"/>
        <v>0.6</v>
      </c>
      <c r="G69">
        <f t="shared" si="75"/>
        <v>4.4000000000000004</v>
      </c>
      <c r="H69">
        <f t="shared" si="76"/>
        <v>668.6</v>
      </c>
      <c r="I69" s="5">
        <f t="shared" si="77"/>
        <v>0.44351099999999999</v>
      </c>
      <c r="J69">
        <f t="shared" si="78"/>
        <v>0.43724000000000002</v>
      </c>
      <c r="K69">
        <f t="shared" si="79"/>
        <v>0.86179099999999997</v>
      </c>
      <c r="O69" t="s">
        <v>17</v>
      </c>
      <c r="P69">
        <v>50</v>
      </c>
      <c r="Q69">
        <v>0.4</v>
      </c>
      <c r="R69">
        <f t="shared" si="80"/>
        <v>0.474466</v>
      </c>
      <c r="S69">
        <f t="shared" si="81"/>
        <v>14.8</v>
      </c>
      <c r="T69">
        <f t="shared" si="82"/>
        <v>0</v>
      </c>
      <c r="U69">
        <f t="shared" si="83"/>
        <v>5</v>
      </c>
      <c r="V69">
        <f t="shared" si="84"/>
        <v>666.2</v>
      </c>
      <c r="W69" s="5">
        <f t="shared" si="85"/>
        <v>0.403333</v>
      </c>
      <c r="X69">
        <f t="shared" si="86"/>
        <v>0.39630799999999999</v>
      </c>
      <c r="Y69">
        <f t="shared" si="87"/>
        <v>0.978267</v>
      </c>
      <c r="AB69" t="s">
        <v>23</v>
      </c>
      <c r="AC69">
        <v>70</v>
      </c>
      <c r="AD69">
        <v>0.4</v>
      </c>
      <c r="AE69" s="5">
        <v>0.38109799999999999</v>
      </c>
      <c r="AF69" s="14">
        <v>24.6</v>
      </c>
      <c r="AG69" s="14">
        <v>0.6</v>
      </c>
      <c r="AH69" s="14">
        <v>4.4000000000000004</v>
      </c>
      <c r="AI69" s="14">
        <v>656.4</v>
      </c>
      <c r="AJ69" s="5">
        <v>0.30009200000000003</v>
      </c>
      <c r="AK69" s="5">
        <v>0.29142899999999999</v>
      </c>
      <c r="AL69" s="5">
        <v>0.84387699999999999</v>
      </c>
    </row>
    <row r="70" spans="1:38" x14ac:dyDescent="0.25">
      <c r="A70" s="4" t="s">
        <v>11</v>
      </c>
      <c r="B70" s="4">
        <v>50</v>
      </c>
      <c r="C70" s="4">
        <v>0.5</v>
      </c>
      <c r="D70" s="4">
        <f t="shared" si="72"/>
        <v>0.46375100000000002</v>
      </c>
      <c r="E70" s="4">
        <f t="shared" si="73"/>
        <v>8.8000000000000007</v>
      </c>
      <c r="F70" s="4">
        <f t="shared" si="74"/>
        <v>1.2</v>
      </c>
      <c r="G70" s="4">
        <f t="shared" si="75"/>
        <v>3.8</v>
      </c>
      <c r="H70" s="4">
        <f t="shared" si="76"/>
        <v>672.2</v>
      </c>
      <c r="I70" s="6">
        <f t="shared" si="77"/>
        <v>0.46296900000000002</v>
      </c>
      <c r="J70" s="4">
        <f t="shared" si="78"/>
        <v>0.45735500000000001</v>
      </c>
      <c r="K70" s="4">
        <f t="shared" si="79"/>
        <v>0.74707800000000002</v>
      </c>
      <c r="O70" s="4" t="s">
        <v>17</v>
      </c>
      <c r="P70" s="4">
        <v>50</v>
      </c>
      <c r="Q70" s="4">
        <v>0.5</v>
      </c>
      <c r="R70" s="4">
        <f t="shared" si="80"/>
        <v>0.474466</v>
      </c>
      <c r="S70" s="4">
        <f t="shared" si="81"/>
        <v>7.2</v>
      </c>
      <c r="T70" s="4">
        <f t="shared" si="82"/>
        <v>1</v>
      </c>
      <c r="U70" s="4">
        <f t="shared" si="83"/>
        <v>4</v>
      </c>
      <c r="V70" s="4">
        <f t="shared" si="84"/>
        <v>673.8</v>
      </c>
      <c r="W70" s="6">
        <f t="shared" si="85"/>
        <v>0.49754399999999999</v>
      </c>
      <c r="X70" s="4">
        <f t="shared" si="86"/>
        <v>0.49242999999999998</v>
      </c>
      <c r="Y70" s="4">
        <f t="shared" si="87"/>
        <v>0.78942699999999999</v>
      </c>
      <c r="AB70" t="s">
        <v>23</v>
      </c>
      <c r="AC70">
        <v>70</v>
      </c>
      <c r="AD70">
        <v>0.5</v>
      </c>
      <c r="AE70" s="5">
        <v>0.38109799999999999</v>
      </c>
      <c r="AF70" s="14">
        <v>14.8</v>
      </c>
      <c r="AG70" s="14">
        <v>2</v>
      </c>
      <c r="AH70" s="14">
        <v>3</v>
      </c>
      <c r="AI70" s="14">
        <v>666.2</v>
      </c>
      <c r="AJ70" s="5">
        <v>0.28593000000000002</v>
      </c>
      <c r="AK70" s="5">
        <v>0.279451</v>
      </c>
      <c r="AL70" s="5">
        <v>0.57856099999999999</v>
      </c>
    </row>
    <row r="71" spans="1:38" x14ac:dyDescent="0.25">
      <c r="A71" t="s">
        <v>11</v>
      </c>
      <c r="B71">
        <v>50</v>
      </c>
      <c r="C71">
        <v>0.6</v>
      </c>
      <c r="D71">
        <f t="shared" si="72"/>
        <v>0.46375100000000002</v>
      </c>
      <c r="E71">
        <f t="shared" si="73"/>
        <v>5.8</v>
      </c>
      <c r="F71">
        <f t="shared" si="74"/>
        <v>2.4</v>
      </c>
      <c r="G71">
        <f t="shared" si="75"/>
        <v>2.6</v>
      </c>
      <c r="H71">
        <f t="shared" si="76"/>
        <v>675.2</v>
      </c>
      <c r="I71" s="5">
        <f t="shared" si="77"/>
        <v>0.40987000000000001</v>
      </c>
      <c r="J71">
        <f t="shared" si="78"/>
        <v>0.40466099999999999</v>
      </c>
      <c r="K71">
        <f t="shared" si="79"/>
        <v>0.51148300000000002</v>
      </c>
      <c r="O71" t="s">
        <v>17</v>
      </c>
      <c r="P71">
        <v>50</v>
      </c>
      <c r="Q71">
        <v>0.6</v>
      </c>
      <c r="R71">
        <f t="shared" si="80"/>
        <v>0.474466</v>
      </c>
      <c r="S71">
        <f t="shared" si="81"/>
        <v>1.6</v>
      </c>
      <c r="T71">
        <f t="shared" si="82"/>
        <v>3.2</v>
      </c>
      <c r="U71">
        <f t="shared" si="83"/>
        <v>1.8</v>
      </c>
      <c r="V71">
        <f t="shared" si="84"/>
        <v>679.4</v>
      </c>
      <c r="W71" s="5">
        <f t="shared" si="85"/>
        <v>0.36190499999999998</v>
      </c>
      <c r="X71">
        <f t="shared" si="86"/>
        <v>0.35946400000000001</v>
      </c>
      <c r="Y71">
        <f t="shared" si="87"/>
        <v>0.357651</v>
      </c>
      <c r="AB71" t="s">
        <v>23</v>
      </c>
      <c r="AC71">
        <v>70</v>
      </c>
      <c r="AD71">
        <v>0.6</v>
      </c>
      <c r="AE71" s="5">
        <v>0.38109799999999999</v>
      </c>
      <c r="AF71" s="14">
        <v>9.8000000000000007</v>
      </c>
      <c r="AG71" s="14">
        <v>3</v>
      </c>
      <c r="AH71" s="14">
        <v>2</v>
      </c>
      <c r="AI71" s="14">
        <v>671.2</v>
      </c>
      <c r="AJ71" s="5">
        <v>0.239148</v>
      </c>
      <c r="AK71" s="5">
        <v>0.23399400000000001</v>
      </c>
      <c r="AL71" s="5">
        <v>0.38560899999999998</v>
      </c>
    </row>
    <row r="72" spans="1:38" x14ac:dyDescent="0.25">
      <c r="A72" t="s">
        <v>11</v>
      </c>
      <c r="B72">
        <v>50</v>
      </c>
      <c r="C72">
        <v>0.7</v>
      </c>
      <c r="D72">
        <f t="shared" si="72"/>
        <v>0.46375100000000002</v>
      </c>
      <c r="E72">
        <f t="shared" si="73"/>
        <v>4.2</v>
      </c>
      <c r="F72">
        <f t="shared" si="74"/>
        <v>3.4</v>
      </c>
      <c r="G72">
        <f t="shared" si="75"/>
        <v>1.6</v>
      </c>
      <c r="H72">
        <f t="shared" si="76"/>
        <v>676.8</v>
      </c>
      <c r="I72" s="5">
        <f t="shared" si="77"/>
        <v>0.28755999999999998</v>
      </c>
      <c r="J72">
        <f t="shared" si="78"/>
        <v>0.28325600000000001</v>
      </c>
      <c r="K72">
        <f t="shared" si="79"/>
        <v>0.31383299999999997</v>
      </c>
      <c r="O72" t="s">
        <v>17</v>
      </c>
      <c r="P72">
        <v>50</v>
      </c>
      <c r="Q72">
        <v>0.7</v>
      </c>
      <c r="R72">
        <f t="shared" si="80"/>
        <v>0.474466</v>
      </c>
      <c r="S72">
        <f t="shared" si="81"/>
        <v>0</v>
      </c>
      <c r="T72">
        <f t="shared" si="82"/>
        <v>5</v>
      </c>
      <c r="U72">
        <f t="shared" si="83"/>
        <v>0</v>
      </c>
      <c r="V72">
        <f t="shared" si="84"/>
        <v>681</v>
      </c>
      <c r="W72" s="5">
        <f t="shared" si="85"/>
        <v>0</v>
      </c>
      <c r="X72">
        <f t="shared" si="86"/>
        <v>0</v>
      </c>
      <c r="Y72">
        <f t="shared" si="87"/>
        <v>0</v>
      </c>
      <c r="AB72" t="s">
        <v>23</v>
      </c>
      <c r="AC72">
        <v>70</v>
      </c>
      <c r="AD72">
        <v>0.7</v>
      </c>
      <c r="AE72" s="5">
        <v>0.38109799999999999</v>
      </c>
      <c r="AF72" s="14">
        <v>7.6</v>
      </c>
      <c r="AG72" s="14">
        <v>3.6</v>
      </c>
      <c r="AH72" s="14">
        <v>1.4</v>
      </c>
      <c r="AI72" s="14">
        <v>673.4</v>
      </c>
      <c r="AJ72" s="5">
        <v>0.180672</v>
      </c>
      <c r="AK72" s="5">
        <v>0.17624100000000001</v>
      </c>
      <c r="AL72" s="5">
        <v>0.26884000000000002</v>
      </c>
    </row>
    <row r="73" spans="1:38" x14ac:dyDescent="0.25">
      <c r="A73" t="s">
        <v>11</v>
      </c>
      <c r="B73">
        <v>50</v>
      </c>
      <c r="C73">
        <v>0.8</v>
      </c>
      <c r="D73">
        <f t="shared" si="72"/>
        <v>0.46375100000000002</v>
      </c>
      <c r="E73">
        <f t="shared" si="73"/>
        <v>2.4</v>
      </c>
      <c r="F73">
        <f t="shared" si="74"/>
        <v>3.8</v>
      </c>
      <c r="G73">
        <f t="shared" si="75"/>
        <v>1.2</v>
      </c>
      <c r="H73">
        <f t="shared" si="76"/>
        <v>678.6</v>
      </c>
      <c r="I73" s="5">
        <f t="shared" si="77"/>
        <v>0.23042699999999999</v>
      </c>
      <c r="J73">
        <f t="shared" si="78"/>
        <v>0.22708100000000001</v>
      </c>
      <c r="K73">
        <f t="shared" si="79"/>
        <v>0.23676900000000001</v>
      </c>
      <c r="O73" t="s">
        <v>17</v>
      </c>
      <c r="P73">
        <v>50</v>
      </c>
      <c r="Q73">
        <v>0.8</v>
      </c>
      <c r="R73">
        <f t="shared" si="80"/>
        <v>0.474466</v>
      </c>
      <c r="S73">
        <f t="shared" si="81"/>
        <v>0</v>
      </c>
      <c r="T73">
        <f t="shared" si="82"/>
        <v>5</v>
      </c>
      <c r="U73">
        <f t="shared" si="83"/>
        <v>0</v>
      </c>
      <c r="V73">
        <f t="shared" si="84"/>
        <v>681</v>
      </c>
      <c r="W73" s="5">
        <f t="shared" si="85"/>
        <v>0</v>
      </c>
      <c r="X73">
        <f t="shared" si="86"/>
        <v>0</v>
      </c>
      <c r="Y73">
        <f t="shared" si="87"/>
        <v>0</v>
      </c>
      <c r="AB73" t="s">
        <v>23</v>
      </c>
      <c r="AC73">
        <v>70</v>
      </c>
      <c r="AD73">
        <v>0.8</v>
      </c>
      <c r="AE73" s="5">
        <v>0.38109799999999999</v>
      </c>
      <c r="AF73" s="14">
        <v>4.8</v>
      </c>
      <c r="AG73" s="14">
        <v>3.8</v>
      </c>
      <c r="AH73" s="14">
        <v>1.2</v>
      </c>
      <c r="AI73" s="14">
        <v>676.2</v>
      </c>
      <c r="AJ73" s="5">
        <v>0.192</v>
      </c>
      <c r="AK73" s="5">
        <v>0.18825600000000001</v>
      </c>
      <c r="AL73" s="5">
        <v>0.23295199999999999</v>
      </c>
    </row>
    <row r="74" spans="1:38" x14ac:dyDescent="0.25">
      <c r="A74" t="s">
        <v>11</v>
      </c>
      <c r="B74">
        <v>50</v>
      </c>
      <c r="C74">
        <v>0.9</v>
      </c>
      <c r="D74">
        <f t="shared" si="72"/>
        <v>0.46375100000000002</v>
      </c>
      <c r="E74">
        <f t="shared" si="73"/>
        <v>1</v>
      </c>
      <c r="F74">
        <f t="shared" si="74"/>
        <v>4.4000000000000004</v>
      </c>
      <c r="G74">
        <f t="shared" si="75"/>
        <v>0.6</v>
      </c>
      <c r="H74">
        <f t="shared" si="76"/>
        <v>680</v>
      </c>
      <c r="I74" s="5">
        <f t="shared" si="77"/>
        <v>0.13714299999999999</v>
      </c>
      <c r="J74">
        <f t="shared" si="78"/>
        <v>0.13517699999999999</v>
      </c>
      <c r="K74">
        <f t="shared" si="79"/>
        <v>0.118825</v>
      </c>
      <c r="O74" t="s">
        <v>17</v>
      </c>
      <c r="P74">
        <v>50</v>
      </c>
      <c r="Q74">
        <v>0.9</v>
      </c>
      <c r="R74">
        <f t="shared" si="80"/>
        <v>0.474466</v>
      </c>
      <c r="S74">
        <f t="shared" si="81"/>
        <v>0</v>
      </c>
      <c r="T74">
        <f t="shared" si="82"/>
        <v>5</v>
      </c>
      <c r="U74">
        <f t="shared" si="83"/>
        <v>0</v>
      </c>
      <c r="V74">
        <f t="shared" si="84"/>
        <v>681</v>
      </c>
      <c r="W74" s="5">
        <f t="shared" si="85"/>
        <v>0</v>
      </c>
      <c r="X74">
        <f t="shared" si="86"/>
        <v>0</v>
      </c>
      <c r="Y74">
        <f t="shared" si="87"/>
        <v>0</v>
      </c>
      <c r="AB74" t="s">
        <v>23</v>
      </c>
      <c r="AC74">
        <v>70</v>
      </c>
      <c r="AD74">
        <v>0.9</v>
      </c>
      <c r="AE74" s="5">
        <v>0.38109799999999999</v>
      </c>
      <c r="AF74" s="14">
        <v>2.4</v>
      </c>
      <c r="AG74" s="14">
        <v>4.4000000000000004</v>
      </c>
      <c r="AH74" s="14">
        <v>0.6</v>
      </c>
      <c r="AI74" s="14">
        <v>678.6</v>
      </c>
      <c r="AJ74" s="5">
        <v>0.104202</v>
      </c>
      <c r="AK74" s="5">
        <v>0.10152700000000001</v>
      </c>
      <c r="AL74" s="5">
        <v>0.116769</v>
      </c>
    </row>
    <row r="75" spans="1:38" x14ac:dyDescent="0.25">
      <c r="AB75" t="s">
        <v>23</v>
      </c>
      <c r="AC75">
        <v>80</v>
      </c>
      <c r="AD75">
        <v>0.1</v>
      </c>
      <c r="AE75" s="5">
        <v>0.299572</v>
      </c>
      <c r="AF75" s="14">
        <v>396</v>
      </c>
      <c r="AG75" s="14">
        <v>0</v>
      </c>
      <c r="AH75" s="14">
        <v>5</v>
      </c>
      <c r="AI75" s="14">
        <v>285</v>
      </c>
      <c r="AJ75" s="5">
        <v>3.5186000000000002E-2</v>
      </c>
      <c r="AK75" s="5">
        <v>2.1166000000000001E-2</v>
      </c>
      <c r="AL75" s="5">
        <v>0.41850199999999999</v>
      </c>
    </row>
    <row r="76" spans="1:38" x14ac:dyDescent="0.25">
      <c r="AB76" t="s">
        <v>23</v>
      </c>
      <c r="AC76">
        <v>80</v>
      </c>
      <c r="AD76">
        <v>0.2</v>
      </c>
      <c r="AE76" s="5">
        <v>0.299572</v>
      </c>
      <c r="AF76" s="14">
        <v>340.6</v>
      </c>
      <c r="AG76" s="14">
        <v>0.2</v>
      </c>
      <c r="AH76" s="14">
        <v>4.8</v>
      </c>
      <c r="AI76" s="14">
        <v>340.4</v>
      </c>
      <c r="AJ76" s="5">
        <v>5.1133999999999999E-2</v>
      </c>
      <c r="AK76" s="5">
        <v>3.7478999999999998E-2</v>
      </c>
      <c r="AL76" s="5">
        <v>0.45985300000000001</v>
      </c>
    </row>
    <row r="77" spans="1:38" x14ac:dyDescent="0.25">
      <c r="D77" t="s">
        <v>0</v>
      </c>
      <c r="E77" t="s">
        <v>0</v>
      </c>
      <c r="F77" t="s">
        <v>0</v>
      </c>
      <c r="G77" t="s">
        <v>0</v>
      </c>
      <c r="H77" t="s">
        <v>0</v>
      </c>
      <c r="I77" s="5" t="s">
        <v>0</v>
      </c>
      <c r="J77" t="s">
        <v>0</v>
      </c>
      <c r="K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s="5" t="s">
        <v>0</v>
      </c>
      <c r="X77" t="s">
        <v>0</v>
      </c>
      <c r="Y77" t="s">
        <v>0</v>
      </c>
      <c r="AB77" t="s">
        <v>23</v>
      </c>
      <c r="AC77">
        <v>80</v>
      </c>
      <c r="AD77">
        <v>0.3</v>
      </c>
      <c r="AE77" s="5">
        <v>0.299572</v>
      </c>
      <c r="AF77" s="14">
        <v>315.60000000000002</v>
      </c>
      <c r="AG77" s="14">
        <v>0.2</v>
      </c>
      <c r="AH77" s="14">
        <v>4.8</v>
      </c>
      <c r="AI77" s="14">
        <v>365.4</v>
      </c>
      <c r="AJ77" s="5">
        <v>7.6148999999999994E-2</v>
      </c>
      <c r="AK77" s="5">
        <v>6.3017000000000004E-2</v>
      </c>
      <c r="AL77" s="5">
        <v>0.49656400000000001</v>
      </c>
    </row>
    <row r="78" spans="1:38" x14ac:dyDescent="0.25">
      <c r="A78" t="s">
        <v>1</v>
      </c>
      <c r="B78" t="s">
        <v>2</v>
      </c>
      <c r="C78" t="s">
        <v>13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s="5" t="s">
        <v>8</v>
      </c>
      <c r="J78" t="s">
        <v>9</v>
      </c>
      <c r="K78" t="s">
        <v>10</v>
      </c>
      <c r="O78" t="s">
        <v>1</v>
      </c>
      <c r="P78" t="s">
        <v>2</v>
      </c>
      <c r="Q78" t="s">
        <v>13</v>
      </c>
      <c r="R78" t="s">
        <v>3</v>
      </c>
      <c r="S78" t="s">
        <v>4</v>
      </c>
      <c r="T78" t="s">
        <v>5</v>
      </c>
      <c r="U78" t="s">
        <v>6</v>
      </c>
      <c r="V78" t="s">
        <v>7</v>
      </c>
      <c r="W78" s="5" t="s">
        <v>8</v>
      </c>
      <c r="X78" t="s">
        <v>9</v>
      </c>
      <c r="Y78" t="s">
        <v>10</v>
      </c>
      <c r="AB78" t="s">
        <v>23</v>
      </c>
      <c r="AC78">
        <v>80</v>
      </c>
      <c r="AD78">
        <v>0.4</v>
      </c>
      <c r="AE78" s="5">
        <v>0.299572</v>
      </c>
      <c r="AF78" s="14">
        <v>41.8</v>
      </c>
      <c r="AG78" s="14">
        <v>0.4</v>
      </c>
      <c r="AH78" s="14">
        <v>4.5999999999999996</v>
      </c>
      <c r="AI78" s="14">
        <v>639.20000000000005</v>
      </c>
      <c r="AJ78" s="5">
        <v>0.19606699999999999</v>
      </c>
      <c r="AK78" s="5">
        <v>0.185415</v>
      </c>
      <c r="AL78" s="5">
        <v>0.85862000000000005</v>
      </c>
    </row>
    <row r="79" spans="1:38" x14ac:dyDescent="0.25">
      <c r="A79" t="s">
        <v>11</v>
      </c>
      <c r="B79">
        <v>60</v>
      </c>
      <c r="C79">
        <v>0.1</v>
      </c>
      <c r="D79">
        <f t="shared" ref="D79:D87" si="88">AE57</f>
        <v>0.42891099999999999</v>
      </c>
      <c r="E79">
        <f t="shared" ref="E79:E87" si="89">AF57</f>
        <v>191</v>
      </c>
      <c r="F79">
        <f t="shared" ref="F79:F87" si="90">AG57</f>
        <v>0</v>
      </c>
      <c r="G79">
        <f t="shared" ref="G79:G87" si="91">AH57</f>
        <v>5</v>
      </c>
      <c r="H79">
        <f t="shared" ref="H79:H87" si="92">AI57</f>
        <v>490</v>
      </c>
      <c r="I79" s="5">
        <f t="shared" ref="I79:I87" si="93">AJ57</f>
        <v>8.9853000000000002E-2</v>
      </c>
      <c r="J79">
        <f t="shared" ref="J79:J87" si="94">AK57</f>
        <v>7.6973E-2</v>
      </c>
      <c r="K79">
        <f t="shared" ref="K79:K87" si="95">AL57</f>
        <v>0.71953</v>
      </c>
      <c r="O79" t="s">
        <v>17</v>
      </c>
      <c r="P79">
        <v>60</v>
      </c>
      <c r="Q79">
        <v>0.1</v>
      </c>
      <c r="R79">
        <f t="shared" ref="R79:R87" si="96">AE138</f>
        <v>0.46395700000000001</v>
      </c>
      <c r="S79">
        <f t="shared" ref="S79:S87" si="97">AF138</f>
        <v>80.2</v>
      </c>
      <c r="T79">
        <f t="shared" ref="T79:T87" si="98">AG138</f>
        <v>0</v>
      </c>
      <c r="U79">
        <f t="shared" ref="U79:U87" si="99">AH138</f>
        <v>5</v>
      </c>
      <c r="V79">
        <f t="shared" ref="V79:V87" si="100">AI138</f>
        <v>600.79999999999995</v>
      </c>
      <c r="W79" s="5">
        <f t="shared" ref="W79:W87" si="101">AJ138</f>
        <v>0.11100500000000001</v>
      </c>
      <c r="X79">
        <f t="shared" ref="X79:X87" si="102">AK138</f>
        <v>9.8594000000000001E-2</v>
      </c>
      <c r="Y79">
        <f t="shared" ref="Y79:Y87" si="103">AL138</f>
        <v>0.88223200000000002</v>
      </c>
      <c r="AB79" t="s">
        <v>23</v>
      </c>
      <c r="AC79">
        <v>80</v>
      </c>
      <c r="AD79">
        <v>0.5</v>
      </c>
      <c r="AE79" s="5">
        <v>0.299572</v>
      </c>
      <c r="AF79" s="14">
        <v>22</v>
      </c>
      <c r="AG79" s="14">
        <v>2.8</v>
      </c>
      <c r="AH79" s="14">
        <v>2.2000000000000002</v>
      </c>
      <c r="AI79" s="14">
        <v>659</v>
      </c>
      <c r="AJ79" s="5">
        <v>0.10548200000000001</v>
      </c>
      <c r="AK79" s="5">
        <v>9.9069000000000004E-2</v>
      </c>
      <c r="AL79" s="5">
        <v>0.40769499999999997</v>
      </c>
    </row>
    <row r="80" spans="1:38" x14ac:dyDescent="0.25">
      <c r="A80" t="s">
        <v>11</v>
      </c>
      <c r="B80">
        <v>60</v>
      </c>
      <c r="C80">
        <v>0.2</v>
      </c>
      <c r="D80">
        <f t="shared" si="88"/>
        <v>0.42891099999999999</v>
      </c>
      <c r="E80">
        <f t="shared" si="89"/>
        <v>48.2</v>
      </c>
      <c r="F80">
        <f t="shared" si="90"/>
        <v>0</v>
      </c>
      <c r="G80">
        <f t="shared" si="91"/>
        <v>5</v>
      </c>
      <c r="H80">
        <f t="shared" si="92"/>
        <v>632.79999999999995</v>
      </c>
      <c r="I80" s="5">
        <f t="shared" si="93"/>
        <v>0.19222800000000001</v>
      </c>
      <c r="J80">
        <f t="shared" si="94"/>
        <v>0.18140200000000001</v>
      </c>
      <c r="K80">
        <f t="shared" si="95"/>
        <v>0.92922199999999999</v>
      </c>
      <c r="O80" t="s">
        <v>17</v>
      </c>
      <c r="P80">
        <v>60</v>
      </c>
      <c r="Q80">
        <v>0.2</v>
      </c>
      <c r="R80">
        <f t="shared" si="96"/>
        <v>0.46395700000000001</v>
      </c>
      <c r="S80">
        <f t="shared" si="97"/>
        <v>37.200000000000003</v>
      </c>
      <c r="T80">
        <f t="shared" si="98"/>
        <v>0</v>
      </c>
      <c r="U80">
        <f t="shared" si="99"/>
        <v>5</v>
      </c>
      <c r="V80">
        <f t="shared" si="100"/>
        <v>643.79999999999995</v>
      </c>
      <c r="W80" s="5">
        <f t="shared" si="101"/>
        <v>0.21487000000000001</v>
      </c>
      <c r="X80">
        <f t="shared" si="102"/>
        <v>0.204514</v>
      </c>
      <c r="Y80">
        <f t="shared" si="103"/>
        <v>0.94537400000000005</v>
      </c>
      <c r="AB80" t="s">
        <v>23</v>
      </c>
      <c r="AC80">
        <v>80</v>
      </c>
      <c r="AD80">
        <v>0.6</v>
      </c>
      <c r="AE80" s="5">
        <v>0.299572</v>
      </c>
      <c r="AF80" s="14">
        <v>15.8</v>
      </c>
      <c r="AG80" s="14">
        <v>3.4</v>
      </c>
      <c r="AH80" s="14">
        <v>1.6</v>
      </c>
      <c r="AI80" s="14">
        <v>665.2</v>
      </c>
      <c r="AJ80" s="5">
        <v>9.7455E-2</v>
      </c>
      <c r="AK80" s="5">
        <v>9.1313000000000005E-2</v>
      </c>
      <c r="AL80" s="5">
        <v>0.29679899999999998</v>
      </c>
    </row>
    <row r="81" spans="1:38" x14ac:dyDescent="0.25">
      <c r="A81" t="s">
        <v>11</v>
      </c>
      <c r="B81">
        <v>60</v>
      </c>
      <c r="C81">
        <v>0.3</v>
      </c>
      <c r="D81">
        <f t="shared" si="88"/>
        <v>0.42891099999999999</v>
      </c>
      <c r="E81">
        <f t="shared" si="89"/>
        <v>28</v>
      </c>
      <c r="F81">
        <f t="shared" si="90"/>
        <v>0.4</v>
      </c>
      <c r="G81">
        <f t="shared" si="91"/>
        <v>4.5999999999999996</v>
      </c>
      <c r="H81">
        <f t="shared" si="92"/>
        <v>653</v>
      </c>
      <c r="I81" s="5">
        <f t="shared" si="93"/>
        <v>0.26643</v>
      </c>
      <c r="J81">
        <f t="shared" si="94"/>
        <v>0.25713399999999997</v>
      </c>
      <c r="K81">
        <f t="shared" si="95"/>
        <v>0.878884</v>
      </c>
      <c r="O81" t="s">
        <v>17</v>
      </c>
      <c r="P81">
        <v>60</v>
      </c>
      <c r="Q81">
        <v>0.3</v>
      </c>
      <c r="R81">
        <f t="shared" si="96"/>
        <v>0.46395700000000001</v>
      </c>
      <c r="S81">
        <f t="shared" si="97"/>
        <v>20.8</v>
      </c>
      <c r="T81">
        <f t="shared" si="98"/>
        <v>0</v>
      </c>
      <c r="U81">
        <f t="shared" si="99"/>
        <v>5</v>
      </c>
      <c r="V81">
        <f t="shared" si="100"/>
        <v>660.2</v>
      </c>
      <c r="W81" s="5">
        <f t="shared" si="101"/>
        <v>0.32473099999999999</v>
      </c>
      <c r="X81">
        <f t="shared" si="102"/>
        <v>0.316384</v>
      </c>
      <c r="Y81">
        <f t="shared" si="103"/>
        <v>0.96945700000000001</v>
      </c>
      <c r="AB81" t="s">
        <v>23</v>
      </c>
      <c r="AC81">
        <v>80</v>
      </c>
      <c r="AD81">
        <v>0.7</v>
      </c>
      <c r="AE81" s="5">
        <v>0.299572</v>
      </c>
      <c r="AF81" s="14">
        <v>11</v>
      </c>
      <c r="AG81" s="14">
        <v>3.6</v>
      </c>
      <c r="AH81" s="14">
        <v>1.4</v>
      </c>
      <c r="AI81" s="14">
        <v>670</v>
      </c>
      <c r="AJ81" s="5">
        <v>0.13028899999999999</v>
      </c>
      <c r="AK81" s="5">
        <v>0.125058</v>
      </c>
      <c r="AL81" s="5">
        <v>0.263847</v>
      </c>
    </row>
    <row r="82" spans="1:38" x14ac:dyDescent="0.25">
      <c r="A82" t="s">
        <v>11</v>
      </c>
      <c r="B82">
        <v>60</v>
      </c>
      <c r="C82">
        <v>0.4</v>
      </c>
      <c r="D82">
        <f t="shared" si="88"/>
        <v>0.42891099999999999</v>
      </c>
      <c r="E82">
        <f t="shared" si="89"/>
        <v>19.600000000000001</v>
      </c>
      <c r="F82">
        <f t="shared" si="90"/>
        <v>0.6</v>
      </c>
      <c r="G82">
        <f t="shared" si="91"/>
        <v>4.4000000000000004</v>
      </c>
      <c r="H82">
        <f t="shared" si="92"/>
        <v>661.4</v>
      </c>
      <c r="I82" s="5">
        <f t="shared" si="93"/>
        <v>0.33733999999999997</v>
      </c>
      <c r="J82">
        <f t="shared" si="94"/>
        <v>0.32935399999999998</v>
      </c>
      <c r="K82">
        <f t="shared" si="95"/>
        <v>0.85121899999999995</v>
      </c>
      <c r="O82" t="s">
        <v>17</v>
      </c>
      <c r="P82">
        <v>60</v>
      </c>
      <c r="Q82">
        <v>0.4</v>
      </c>
      <c r="R82">
        <f t="shared" si="96"/>
        <v>0.46395700000000001</v>
      </c>
      <c r="S82">
        <f t="shared" si="97"/>
        <v>15.4</v>
      </c>
      <c r="T82">
        <f t="shared" si="98"/>
        <v>0</v>
      </c>
      <c r="U82">
        <f t="shared" si="99"/>
        <v>5</v>
      </c>
      <c r="V82">
        <f t="shared" si="100"/>
        <v>665.6</v>
      </c>
      <c r="W82" s="5">
        <f t="shared" si="101"/>
        <v>0.39384599999999997</v>
      </c>
      <c r="X82">
        <f t="shared" si="102"/>
        <v>0.38666600000000001</v>
      </c>
      <c r="Y82">
        <f t="shared" si="103"/>
        <v>0.97738599999999998</v>
      </c>
      <c r="AB82" t="s">
        <v>23</v>
      </c>
      <c r="AC82">
        <v>80</v>
      </c>
      <c r="AD82">
        <v>0.8</v>
      </c>
      <c r="AE82" s="5">
        <v>0.299572</v>
      </c>
      <c r="AF82" s="14">
        <v>7</v>
      </c>
      <c r="AG82" s="14">
        <v>3.8</v>
      </c>
      <c r="AH82" s="14">
        <v>1.2</v>
      </c>
      <c r="AI82" s="14">
        <v>674</v>
      </c>
      <c r="AJ82" s="5">
        <v>0.19051100000000001</v>
      </c>
      <c r="AK82" s="5">
        <v>0.18662699999999999</v>
      </c>
      <c r="AL82" s="5">
        <v>0.22972100000000001</v>
      </c>
    </row>
    <row r="83" spans="1:38" x14ac:dyDescent="0.25">
      <c r="A83" s="4" t="s">
        <v>11</v>
      </c>
      <c r="B83" s="4">
        <v>60</v>
      </c>
      <c r="C83" s="4">
        <v>0.5</v>
      </c>
      <c r="D83" s="4">
        <f t="shared" si="88"/>
        <v>0.42891099999999999</v>
      </c>
      <c r="E83" s="4">
        <f t="shared" si="89"/>
        <v>11.6</v>
      </c>
      <c r="F83" s="4">
        <f t="shared" si="90"/>
        <v>1.2</v>
      </c>
      <c r="G83" s="4">
        <f t="shared" si="91"/>
        <v>3.8</v>
      </c>
      <c r="H83" s="4">
        <f t="shared" si="92"/>
        <v>669.4</v>
      </c>
      <c r="I83" s="6">
        <f t="shared" si="93"/>
        <v>0.44092900000000002</v>
      </c>
      <c r="J83" s="4">
        <f t="shared" si="94"/>
        <v>0.43488599999999999</v>
      </c>
      <c r="K83" s="4">
        <f t="shared" si="95"/>
        <v>0.74296600000000002</v>
      </c>
      <c r="O83" s="4" t="s">
        <v>17</v>
      </c>
      <c r="P83" s="4">
        <v>60</v>
      </c>
      <c r="Q83" s="4">
        <v>0.5</v>
      </c>
      <c r="R83" s="4">
        <f t="shared" si="96"/>
        <v>0.46395700000000001</v>
      </c>
      <c r="S83" s="4">
        <f t="shared" si="97"/>
        <v>10.4</v>
      </c>
      <c r="T83" s="4">
        <f t="shared" si="98"/>
        <v>0</v>
      </c>
      <c r="U83" s="4">
        <f t="shared" si="99"/>
        <v>5</v>
      </c>
      <c r="V83" s="4">
        <f t="shared" si="100"/>
        <v>670.6</v>
      </c>
      <c r="W83" s="6">
        <f t="shared" si="101"/>
        <v>0.49047600000000002</v>
      </c>
      <c r="X83" s="4">
        <f t="shared" si="102"/>
        <v>0.48480699999999999</v>
      </c>
      <c r="Y83" s="4">
        <f t="shared" si="103"/>
        <v>0.98472800000000005</v>
      </c>
      <c r="AB83" t="s">
        <v>23</v>
      </c>
      <c r="AC83">
        <v>80</v>
      </c>
      <c r="AD83">
        <v>0.9</v>
      </c>
      <c r="AE83" s="5">
        <v>0.299572</v>
      </c>
      <c r="AF83" s="14">
        <v>3.6</v>
      </c>
      <c r="AG83" s="14">
        <v>4.5999999999999996</v>
      </c>
      <c r="AH83" s="14">
        <v>0.4</v>
      </c>
      <c r="AI83" s="14">
        <v>677.4</v>
      </c>
      <c r="AJ83" s="5">
        <v>3.4783000000000001E-2</v>
      </c>
      <c r="AK83" s="5">
        <v>3.1902E-2</v>
      </c>
      <c r="AL83" s="5">
        <v>7.5301000000000007E-2</v>
      </c>
    </row>
    <row r="84" spans="1:38" x14ac:dyDescent="0.25">
      <c r="A84" t="s">
        <v>11</v>
      </c>
      <c r="B84">
        <v>60</v>
      </c>
      <c r="C84">
        <v>0.6</v>
      </c>
      <c r="D84">
        <f t="shared" si="88"/>
        <v>0.42891099999999999</v>
      </c>
      <c r="E84">
        <f t="shared" si="89"/>
        <v>7.6</v>
      </c>
      <c r="F84">
        <f t="shared" si="90"/>
        <v>2.6</v>
      </c>
      <c r="G84">
        <f t="shared" si="91"/>
        <v>2.4</v>
      </c>
      <c r="H84">
        <f t="shared" si="92"/>
        <v>673.4</v>
      </c>
      <c r="I84" s="5">
        <f t="shared" si="93"/>
        <v>0.37333300000000003</v>
      </c>
      <c r="J84">
        <f t="shared" si="94"/>
        <v>0.36763800000000002</v>
      </c>
      <c r="K84">
        <f t="shared" si="95"/>
        <v>0.46883999999999998</v>
      </c>
      <c r="O84" s="11" t="s">
        <v>17</v>
      </c>
      <c r="P84" s="11">
        <v>60</v>
      </c>
      <c r="Q84" s="11">
        <v>0.6</v>
      </c>
      <c r="R84" s="11">
        <f t="shared" si="96"/>
        <v>0.46395700000000001</v>
      </c>
      <c r="S84" s="11">
        <f t="shared" si="97"/>
        <v>3.2</v>
      </c>
      <c r="T84" s="11">
        <f t="shared" si="98"/>
        <v>1.2</v>
      </c>
      <c r="U84" s="11">
        <f t="shared" si="99"/>
        <v>3.8</v>
      </c>
      <c r="V84" s="11">
        <f t="shared" si="100"/>
        <v>677.8</v>
      </c>
      <c r="W84" s="12">
        <f t="shared" si="101"/>
        <v>0.64069299999999996</v>
      </c>
      <c r="X84" s="11">
        <f t="shared" si="102"/>
        <v>0.63762700000000005</v>
      </c>
      <c r="Y84" s="11">
        <f t="shared" si="103"/>
        <v>0.755301</v>
      </c>
      <c r="AB84" t="s">
        <v>23</v>
      </c>
      <c r="AC84">
        <v>90</v>
      </c>
      <c r="AD84">
        <v>0.1</v>
      </c>
      <c r="AE84" s="5">
        <v>0.288159</v>
      </c>
      <c r="AF84" s="14">
        <v>503.2</v>
      </c>
      <c r="AG84" s="14">
        <v>0</v>
      </c>
      <c r="AH84" s="14">
        <v>5</v>
      </c>
      <c r="AI84" s="14">
        <v>177.8</v>
      </c>
      <c r="AJ84" s="5">
        <v>2.5509E-2</v>
      </c>
      <c r="AK84" s="5">
        <v>1.1278E-2</v>
      </c>
      <c r="AL84" s="5">
        <v>0.26108700000000001</v>
      </c>
    </row>
    <row r="85" spans="1:38" x14ac:dyDescent="0.25">
      <c r="A85" t="s">
        <v>11</v>
      </c>
      <c r="B85">
        <v>60</v>
      </c>
      <c r="C85">
        <v>0.7</v>
      </c>
      <c r="D85">
        <f t="shared" si="88"/>
        <v>0.42891099999999999</v>
      </c>
      <c r="E85">
        <f t="shared" si="89"/>
        <v>5.6</v>
      </c>
      <c r="F85">
        <f t="shared" si="90"/>
        <v>3.6</v>
      </c>
      <c r="G85">
        <f t="shared" si="91"/>
        <v>1.4</v>
      </c>
      <c r="H85">
        <f t="shared" si="92"/>
        <v>675.4</v>
      </c>
      <c r="I85" s="5">
        <f t="shared" si="93"/>
        <v>0.2</v>
      </c>
      <c r="J85">
        <f t="shared" si="94"/>
        <v>0.195079</v>
      </c>
      <c r="K85">
        <f t="shared" si="95"/>
        <v>0.27236399999999999</v>
      </c>
      <c r="O85" t="s">
        <v>17</v>
      </c>
      <c r="P85">
        <v>60</v>
      </c>
      <c r="Q85">
        <v>0.7</v>
      </c>
      <c r="R85">
        <f t="shared" si="96"/>
        <v>0.46395700000000001</v>
      </c>
      <c r="S85">
        <f t="shared" si="97"/>
        <v>0</v>
      </c>
      <c r="T85">
        <f t="shared" si="98"/>
        <v>5</v>
      </c>
      <c r="U85">
        <f t="shared" si="99"/>
        <v>0</v>
      </c>
      <c r="V85">
        <f t="shared" si="100"/>
        <v>681</v>
      </c>
      <c r="W85" s="5">
        <f t="shared" si="101"/>
        <v>0</v>
      </c>
      <c r="X85">
        <f t="shared" si="102"/>
        <v>0</v>
      </c>
      <c r="Y85">
        <f t="shared" si="103"/>
        <v>0</v>
      </c>
      <c r="AB85" t="s">
        <v>23</v>
      </c>
      <c r="AC85">
        <v>90</v>
      </c>
      <c r="AD85">
        <v>0.2</v>
      </c>
      <c r="AE85" s="5">
        <v>0.288159</v>
      </c>
      <c r="AF85" s="14">
        <v>472.2</v>
      </c>
      <c r="AG85" s="14">
        <v>0.2</v>
      </c>
      <c r="AH85" s="14">
        <v>4.8</v>
      </c>
      <c r="AI85" s="14">
        <v>208.8</v>
      </c>
      <c r="AJ85" s="5">
        <v>3.0044999999999999E-2</v>
      </c>
      <c r="AK85" s="5">
        <v>1.5931000000000001E-2</v>
      </c>
      <c r="AL85" s="5">
        <v>0.26660800000000001</v>
      </c>
    </row>
    <row r="86" spans="1:38" x14ac:dyDescent="0.25">
      <c r="A86" t="s">
        <v>11</v>
      </c>
      <c r="B86">
        <v>60</v>
      </c>
      <c r="C86">
        <v>0.8</v>
      </c>
      <c r="D86">
        <f t="shared" si="88"/>
        <v>0.42891099999999999</v>
      </c>
      <c r="E86">
        <f t="shared" si="89"/>
        <v>3</v>
      </c>
      <c r="F86">
        <f t="shared" si="90"/>
        <v>3.8</v>
      </c>
      <c r="G86">
        <f t="shared" si="91"/>
        <v>1.2</v>
      </c>
      <c r="H86">
        <f t="shared" si="92"/>
        <v>678</v>
      </c>
      <c r="I86" s="5">
        <f t="shared" si="93"/>
        <v>0.215948</v>
      </c>
      <c r="J86">
        <f t="shared" si="94"/>
        <v>0.212752</v>
      </c>
      <c r="K86">
        <f t="shared" si="95"/>
        <v>0.235595</v>
      </c>
      <c r="O86" t="s">
        <v>17</v>
      </c>
      <c r="P86">
        <v>60</v>
      </c>
      <c r="Q86">
        <v>0.8</v>
      </c>
      <c r="R86">
        <f t="shared" si="96"/>
        <v>0.46395700000000001</v>
      </c>
      <c r="S86">
        <f t="shared" si="97"/>
        <v>0</v>
      </c>
      <c r="T86">
        <f t="shared" si="98"/>
        <v>5</v>
      </c>
      <c r="U86">
        <f t="shared" si="99"/>
        <v>0</v>
      </c>
      <c r="V86">
        <f t="shared" si="100"/>
        <v>681</v>
      </c>
      <c r="W86" s="5">
        <f t="shared" si="101"/>
        <v>0</v>
      </c>
      <c r="X86">
        <f t="shared" si="102"/>
        <v>0</v>
      </c>
      <c r="Y86">
        <f t="shared" si="103"/>
        <v>0</v>
      </c>
      <c r="AB86" t="s">
        <v>23</v>
      </c>
      <c r="AC86">
        <v>90</v>
      </c>
      <c r="AD86">
        <v>0.3</v>
      </c>
      <c r="AE86" s="5">
        <v>0.288159</v>
      </c>
      <c r="AF86" s="14">
        <v>354</v>
      </c>
      <c r="AG86" s="14">
        <v>0.2</v>
      </c>
      <c r="AH86" s="14">
        <v>4.8</v>
      </c>
      <c r="AI86" s="14">
        <v>327</v>
      </c>
      <c r="AJ86" s="5">
        <v>4.5020999999999999E-2</v>
      </c>
      <c r="AK86" s="5">
        <v>3.1233E-2</v>
      </c>
      <c r="AL86" s="5">
        <v>0.44017600000000001</v>
      </c>
    </row>
    <row r="87" spans="1:38" x14ac:dyDescent="0.25">
      <c r="A87" t="s">
        <v>11</v>
      </c>
      <c r="B87">
        <v>60</v>
      </c>
      <c r="C87">
        <v>0.9</v>
      </c>
      <c r="D87">
        <f t="shared" si="88"/>
        <v>0.42891099999999999</v>
      </c>
      <c r="E87">
        <f t="shared" si="89"/>
        <v>1.4</v>
      </c>
      <c r="F87">
        <f t="shared" si="90"/>
        <v>4.4000000000000004</v>
      </c>
      <c r="G87">
        <f t="shared" si="91"/>
        <v>0.6</v>
      </c>
      <c r="H87">
        <f t="shared" si="92"/>
        <v>679.6</v>
      </c>
      <c r="I87" s="5">
        <f t="shared" si="93"/>
        <v>0.12381</v>
      </c>
      <c r="J87">
        <f t="shared" si="94"/>
        <v>0.12158099999999999</v>
      </c>
      <c r="K87">
        <f t="shared" si="95"/>
        <v>0.118238</v>
      </c>
      <c r="O87" t="s">
        <v>17</v>
      </c>
      <c r="P87">
        <v>60</v>
      </c>
      <c r="Q87">
        <v>0.9</v>
      </c>
      <c r="R87">
        <f t="shared" si="96"/>
        <v>0.46395700000000001</v>
      </c>
      <c r="S87">
        <f t="shared" si="97"/>
        <v>0</v>
      </c>
      <c r="T87">
        <f t="shared" si="98"/>
        <v>5</v>
      </c>
      <c r="U87">
        <f t="shared" si="99"/>
        <v>0</v>
      </c>
      <c r="V87">
        <f t="shared" si="100"/>
        <v>681</v>
      </c>
      <c r="W87" s="5">
        <f t="shared" si="101"/>
        <v>0</v>
      </c>
      <c r="X87">
        <f t="shared" si="102"/>
        <v>0</v>
      </c>
      <c r="Y87">
        <f t="shared" si="103"/>
        <v>0</v>
      </c>
      <c r="AB87" t="s">
        <v>23</v>
      </c>
      <c r="AC87">
        <v>90</v>
      </c>
      <c r="AD87">
        <v>0.4</v>
      </c>
      <c r="AE87" s="5">
        <v>0.288159</v>
      </c>
      <c r="AF87" s="14">
        <v>314.60000000000002</v>
      </c>
      <c r="AG87" s="14">
        <v>0.4</v>
      </c>
      <c r="AH87" s="14">
        <v>4.5999999999999996</v>
      </c>
      <c r="AI87" s="14">
        <v>366.4</v>
      </c>
      <c r="AJ87" s="5">
        <v>7.8730999999999995E-2</v>
      </c>
      <c r="AK87" s="5">
        <v>6.5674999999999997E-2</v>
      </c>
      <c r="AL87" s="5">
        <v>0.45803199999999999</v>
      </c>
    </row>
    <row r="88" spans="1:38" x14ac:dyDescent="0.25">
      <c r="AB88" t="s">
        <v>23</v>
      </c>
      <c r="AC88">
        <v>90</v>
      </c>
      <c r="AD88">
        <v>0.5</v>
      </c>
      <c r="AE88" s="5">
        <v>0.288159</v>
      </c>
      <c r="AF88" s="14">
        <v>28.6</v>
      </c>
      <c r="AG88" s="14">
        <v>2.4</v>
      </c>
      <c r="AH88" s="14">
        <v>2.6</v>
      </c>
      <c r="AI88" s="14">
        <v>652.4</v>
      </c>
      <c r="AJ88" s="5">
        <v>0.13094500000000001</v>
      </c>
      <c r="AK88" s="5">
        <v>0.12475799999999999</v>
      </c>
      <c r="AL88" s="5">
        <v>0.47800300000000001</v>
      </c>
    </row>
    <row r="89" spans="1:38" x14ac:dyDescent="0.25">
      <c r="AB89" t="s">
        <v>23</v>
      </c>
      <c r="AC89">
        <v>90</v>
      </c>
      <c r="AD89">
        <v>0.6</v>
      </c>
      <c r="AE89" s="5">
        <v>0.288159</v>
      </c>
      <c r="AF89" s="14">
        <v>21.4</v>
      </c>
      <c r="AG89" s="14">
        <v>3.6</v>
      </c>
      <c r="AH89" s="14">
        <v>1.4</v>
      </c>
      <c r="AI89" s="14">
        <v>659.6</v>
      </c>
      <c r="AJ89" s="5">
        <v>0.11108700000000001</v>
      </c>
      <c r="AK89" s="5">
        <v>0.10528</v>
      </c>
      <c r="AL89" s="5">
        <v>0.24857599999999999</v>
      </c>
    </row>
    <row r="90" spans="1:38" x14ac:dyDescent="0.25">
      <c r="D90" t="s">
        <v>0</v>
      </c>
      <c r="E90" t="s">
        <v>0</v>
      </c>
      <c r="F90" t="s">
        <v>0</v>
      </c>
      <c r="G90" t="s">
        <v>0</v>
      </c>
      <c r="H90" t="s">
        <v>0</v>
      </c>
      <c r="I90" s="5" t="s">
        <v>0</v>
      </c>
      <c r="J90" t="s">
        <v>0</v>
      </c>
      <c r="K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s="5" t="s">
        <v>0</v>
      </c>
      <c r="X90" t="s">
        <v>0</v>
      </c>
      <c r="Y90" t="s">
        <v>0</v>
      </c>
      <c r="AB90" t="s">
        <v>23</v>
      </c>
      <c r="AC90">
        <v>90</v>
      </c>
      <c r="AD90">
        <v>0.7</v>
      </c>
      <c r="AE90" s="5">
        <v>0.288159</v>
      </c>
      <c r="AF90" s="14">
        <v>16.399999999999999</v>
      </c>
      <c r="AG90" s="14">
        <v>4</v>
      </c>
      <c r="AH90" s="14">
        <v>1</v>
      </c>
      <c r="AI90" s="14">
        <v>664.6</v>
      </c>
      <c r="AJ90" s="5">
        <v>4.7912000000000003E-2</v>
      </c>
      <c r="AK90" s="5">
        <v>4.2900000000000001E-2</v>
      </c>
      <c r="AL90" s="5">
        <v>0.17621100000000001</v>
      </c>
    </row>
    <row r="91" spans="1:38" x14ac:dyDescent="0.25">
      <c r="A91" t="s">
        <v>1</v>
      </c>
      <c r="B91" t="s">
        <v>2</v>
      </c>
      <c r="C91" t="s">
        <v>13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s="5" t="s">
        <v>8</v>
      </c>
      <c r="J91" t="s">
        <v>9</v>
      </c>
      <c r="K91" t="s">
        <v>10</v>
      </c>
      <c r="O91" t="s">
        <v>1</v>
      </c>
      <c r="P91" t="s">
        <v>2</v>
      </c>
      <c r="Q91" t="s">
        <v>13</v>
      </c>
      <c r="R91" t="s">
        <v>3</v>
      </c>
      <c r="S91" t="s">
        <v>4</v>
      </c>
      <c r="T91" t="s">
        <v>5</v>
      </c>
      <c r="U91" t="s">
        <v>6</v>
      </c>
      <c r="V91" t="s">
        <v>7</v>
      </c>
      <c r="W91" s="5" t="s">
        <v>8</v>
      </c>
      <c r="X91" t="s">
        <v>9</v>
      </c>
      <c r="Y91" t="s">
        <v>10</v>
      </c>
      <c r="AB91" t="s">
        <v>23</v>
      </c>
      <c r="AC91">
        <v>90</v>
      </c>
      <c r="AD91">
        <v>0.8</v>
      </c>
      <c r="AE91" s="5">
        <v>0.288159</v>
      </c>
      <c r="AF91" s="14">
        <v>10.199999999999999</v>
      </c>
      <c r="AG91" s="14">
        <v>4</v>
      </c>
      <c r="AH91" s="14">
        <v>1</v>
      </c>
      <c r="AI91" s="14">
        <v>670.8</v>
      </c>
      <c r="AJ91" s="5">
        <v>8.8888999999999996E-2</v>
      </c>
      <c r="AK91" s="5">
        <v>8.5361999999999993E-2</v>
      </c>
      <c r="AL91" s="5">
        <v>0.18502199999999999</v>
      </c>
    </row>
    <row r="92" spans="1:38" x14ac:dyDescent="0.25">
      <c r="A92" t="s">
        <v>11</v>
      </c>
      <c r="B92">
        <v>70</v>
      </c>
      <c r="C92">
        <v>0.1</v>
      </c>
      <c r="D92">
        <f t="shared" ref="D92:D100" si="104">AE66</f>
        <v>0.38109799999999999</v>
      </c>
      <c r="E92">
        <f t="shared" ref="E92:E100" si="105">AF66</f>
        <v>342.2</v>
      </c>
      <c r="F92">
        <f t="shared" ref="F92:F100" si="106">AG66</f>
        <v>0</v>
      </c>
      <c r="G92">
        <f t="shared" ref="G92:G100" si="107">AH66</f>
        <v>5</v>
      </c>
      <c r="H92">
        <f t="shared" ref="H92:H100" si="108">AI66</f>
        <v>338.8</v>
      </c>
      <c r="I92" s="5">
        <f t="shared" ref="I92:I100" si="109">AJ66</f>
        <v>5.6564000000000003E-2</v>
      </c>
      <c r="J92">
        <f t="shared" ref="J92:J100" si="110">AK66</f>
        <v>4.2997E-2</v>
      </c>
      <c r="K92">
        <f t="shared" ref="K92:K100" si="111">AL66</f>
        <v>0.497504</v>
      </c>
      <c r="O92" t="s">
        <v>17</v>
      </c>
      <c r="P92">
        <v>70</v>
      </c>
      <c r="Q92">
        <v>0.1</v>
      </c>
      <c r="R92">
        <f t="shared" ref="R92:R100" si="112">AE147</f>
        <v>0.45345800000000003</v>
      </c>
      <c r="S92">
        <f t="shared" ref="S92:S100" si="113">AF147</f>
        <v>90.6</v>
      </c>
      <c r="T92">
        <f t="shared" ref="T92:T100" si="114">AG147</f>
        <v>0</v>
      </c>
      <c r="U92">
        <f t="shared" ref="U92:U100" si="115">AH147</f>
        <v>5</v>
      </c>
      <c r="V92">
        <f t="shared" ref="V92:V100" si="116">AI147</f>
        <v>590.4</v>
      </c>
      <c r="W92" s="5">
        <f t="shared" ref="W92:W100" si="117">AJ147</f>
        <v>9.9459000000000006E-2</v>
      </c>
      <c r="X92">
        <f t="shared" ref="X92:X100" si="118">AK147</f>
        <v>8.6808999999999997E-2</v>
      </c>
      <c r="Y92">
        <f t="shared" ref="Y92:Y100" si="119">AL147</f>
        <v>0.86695999999999995</v>
      </c>
      <c r="AB92" t="s">
        <v>23</v>
      </c>
      <c r="AC92">
        <v>90</v>
      </c>
      <c r="AD92">
        <v>0.9</v>
      </c>
      <c r="AE92" s="5">
        <v>0.288159</v>
      </c>
      <c r="AF92" s="14">
        <v>7.2</v>
      </c>
      <c r="AG92" s="14">
        <v>4.5999999999999996</v>
      </c>
      <c r="AH92" s="14">
        <v>0.4</v>
      </c>
      <c r="AI92" s="14">
        <v>673.8</v>
      </c>
      <c r="AJ92" s="5">
        <v>1.9512000000000002E-2</v>
      </c>
      <c r="AK92" s="5">
        <v>1.6336E-2</v>
      </c>
      <c r="AL92" s="5">
        <v>7.0014999999999994E-2</v>
      </c>
    </row>
    <row r="93" spans="1:38" x14ac:dyDescent="0.25">
      <c r="A93" t="s">
        <v>11</v>
      </c>
      <c r="B93">
        <v>70</v>
      </c>
      <c r="C93">
        <v>0.2</v>
      </c>
      <c r="D93">
        <f t="shared" si="104"/>
        <v>0.38109799999999999</v>
      </c>
      <c r="E93">
        <f t="shared" si="105"/>
        <v>204.4</v>
      </c>
      <c r="F93">
        <f t="shared" si="106"/>
        <v>0.2</v>
      </c>
      <c r="G93">
        <f t="shared" si="107"/>
        <v>4.8</v>
      </c>
      <c r="H93">
        <f t="shared" si="108"/>
        <v>476.6</v>
      </c>
      <c r="I93" s="5">
        <f t="shared" si="109"/>
        <v>0.11307200000000001</v>
      </c>
      <c r="J93">
        <f t="shared" si="110"/>
        <v>0.10066899999999999</v>
      </c>
      <c r="K93">
        <f t="shared" si="111"/>
        <v>0.65985300000000002</v>
      </c>
      <c r="O93" t="s">
        <v>17</v>
      </c>
      <c r="P93">
        <v>70</v>
      </c>
      <c r="Q93">
        <v>0.2</v>
      </c>
      <c r="R93">
        <f t="shared" si="112"/>
        <v>0.45345800000000003</v>
      </c>
      <c r="S93">
        <f t="shared" si="113"/>
        <v>44.8</v>
      </c>
      <c r="T93">
        <f t="shared" si="114"/>
        <v>0</v>
      </c>
      <c r="U93">
        <f t="shared" si="115"/>
        <v>5</v>
      </c>
      <c r="V93">
        <f t="shared" si="116"/>
        <v>636.20000000000005</v>
      </c>
      <c r="W93" s="5">
        <f t="shared" si="117"/>
        <v>0.18524399999999999</v>
      </c>
      <c r="X93">
        <f t="shared" si="118"/>
        <v>0.174318</v>
      </c>
      <c r="Y93">
        <f t="shared" si="119"/>
        <v>0.93421399999999999</v>
      </c>
      <c r="AB93" t="s">
        <v>24</v>
      </c>
      <c r="AC93">
        <v>10</v>
      </c>
      <c r="AD93">
        <v>0.1</v>
      </c>
      <c r="AE93" s="5">
        <v>0.51778599999999997</v>
      </c>
      <c r="AF93" s="14">
        <v>20.2</v>
      </c>
      <c r="AG93" s="14">
        <v>0</v>
      </c>
      <c r="AH93" s="14">
        <v>5</v>
      </c>
      <c r="AI93" s="14">
        <v>660.8</v>
      </c>
      <c r="AJ93" s="5">
        <v>0.33164399999999999</v>
      </c>
      <c r="AK93" s="5">
        <v>0.32341500000000001</v>
      </c>
      <c r="AL93" s="5">
        <v>0.97033800000000003</v>
      </c>
    </row>
    <row r="94" spans="1:38" x14ac:dyDescent="0.25">
      <c r="A94" t="s">
        <v>11</v>
      </c>
      <c r="B94">
        <v>70</v>
      </c>
      <c r="C94">
        <v>0.3</v>
      </c>
      <c r="D94">
        <f t="shared" si="104"/>
        <v>0.38109799999999999</v>
      </c>
      <c r="E94">
        <f t="shared" si="105"/>
        <v>61.6</v>
      </c>
      <c r="F94">
        <f t="shared" si="106"/>
        <v>0.4</v>
      </c>
      <c r="G94">
        <f t="shared" si="107"/>
        <v>4.5999999999999996</v>
      </c>
      <c r="H94">
        <f t="shared" si="108"/>
        <v>619.4</v>
      </c>
      <c r="I94" s="5">
        <f t="shared" si="109"/>
        <v>0.184503</v>
      </c>
      <c r="J94">
        <f t="shared" si="110"/>
        <v>0.17361599999999999</v>
      </c>
      <c r="K94">
        <f t="shared" si="111"/>
        <v>0.82954499999999998</v>
      </c>
      <c r="O94" t="s">
        <v>17</v>
      </c>
      <c r="P94">
        <v>70</v>
      </c>
      <c r="Q94">
        <v>0.3</v>
      </c>
      <c r="R94">
        <f t="shared" si="112"/>
        <v>0.45345800000000003</v>
      </c>
      <c r="S94">
        <f t="shared" si="113"/>
        <v>23.2</v>
      </c>
      <c r="T94">
        <f t="shared" si="114"/>
        <v>0</v>
      </c>
      <c r="U94">
        <f t="shared" si="115"/>
        <v>5</v>
      </c>
      <c r="V94">
        <f t="shared" si="116"/>
        <v>657.8</v>
      </c>
      <c r="W94" s="5">
        <f t="shared" si="117"/>
        <v>0.30227599999999999</v>
      </c>
      <c r="X94">
        <f t="shared" si="118"/>
        <v>0.29353200000000002</v>
      </c>
      <c r="Y94">
        <f t="shared" si="119"/>
        <v>0.96593200000000001</v>
      </c>
      <c r="AB94" t="s">
        <v>24</v>
      </c>
      <c r="AC94">
        <v>10</v>
      </c>
      <c r="AD94">
        <v>0.2</v>
      </c>
      <c r="AE94" s="5">
        <v>0.51778599999999997</v>
      </c>
      <c r="AF94" s="14">
        <v>11.4</v>
      </c>
      <c r="AG94" s="14">
        <v>0.2</v>
      </c>
      <c r="AH94" s="14">
        <v>4.8</v>
      </c>
      <c r="AI94" s="14">
        <v>669.6</v>
      </c>
      <c r="AJ94" s="5">
        <v>0.46314699999999998</v>
      </c>
      <c r="AK94" s="5">
        <v>0.45713100000000001</v>
      </c>
      <c r="AL94" s="5">
        <v>0.94325999999999999</v>
      </c>
    </row>
    <row r="95" spans="1:38" x14ac:dyDescent="0.25">
      <c r="A95" t="s">
        <v>11</v>
      </c>
      <c r="B95">
        <v>70</v>
      </c>
      <c r="C95">
        <v>0.4</v>
      </c>
      <c r="D95">
        <f t="shared" si="104"/>
        <v>0.38109799999999999</v>
      </c>
      <c r="E95">
        <f t="shared" si="105"/>
        <v>24.6</v>
      </c>
      <c r="F95">
        <f t="shared" si="106"/>
        <v>0.6</v>
      </c>
      <c r="G95">
        <f t="shared" si="107"/>
        <v>4.4000000000000004</v>
      </c>
      <c r="H95">
        <f t="shared" si="108"/>
        <v>656.4</v>
      </c>
      <c r="I95" s="5">
        <f t="shared" si="109"/>
        <v>0.30009200000000003</v>
      </c>
      <c r="J95">
        <f t="shared" si="110"/>
        <v>0.29142899999999999</v>
      </c>
      <c r="K95">
        <f t="shared" si="111"/>
        <v>0.84387699999999999</v>
      </c>
      <c r="O95" t="s">
        <v>17</v>
      </c>
      <c r="P95">
        <v>70</v>
      </c>
      <c r="Q95">
        <v>0.4</v>
      </c>
      <c r="R95">
        <f t="shared" si="112"/>
        <v>0.45345800000000003</v>
      </c>
      <c r="S95">
        <f t="shared" si="113"/>
        <v>17</v>
      </c>
      <c r="T95">
        <f t="shared" si="114"/>
        <v>0</v>
      </c>
      <c r="U95">
        <f t="shared" si="115"/>
        <v>5</v>
      </c>
      <c r="V95">
        <f t="shared" si="116"/>
        <v>664</v>
      </c>
      <c r="W95" s="5">
        <f t="shared" si="117"/>
        <v>0.37100499999999997</v>
      </c>
      <c r="X95">
        <f t="shared" si="118"/>
        <v>0.36344599999999999</v>
      </c>
      <c r="Y95">
        <f t="shared" si="119"/>
        <v>0.97503700000000004</v>
      </c>
      <c r="AB95" t="s">
        <v>24</v>
      </c>
      <c r="AC95">
        <v>10</v>
      </c>
      <c r="AD95">
        <v>0.3</v>
      </c>
      <c r="AE95" s="5">
        <v>0.51778599999999997</v>
      </c>
      <c r="AF95" s="14">
        <v>3.4</v>
      </c>
      <c r="AG95" s="14">
        <v>2.6</v>
      </c>
      <c r="AH95" s="14">
        <v>2.4</v>
      </c>
      <c r="AI95" s="14">
        <v>677.6</v>
      </c>
      <c r="AJ95" s="5">
        <v>0.32761899999999999</v>
      </c>
      <c r="AK95" s="5">
        <v>0.32497599999999999</v>
      </c>
      <c r="AL95" s="5">
        <v>0.47500700000000001</v>
      </c>
    </row>
    <row r="96" spans="1:38" x14ac:dyDescent="0.25">
      <c r="A96" s="4" t="s">
        <v>11</v>
      </c>
      <c r="B96" s="4">
        <v>70</v>
      </c>
      <c r="C96" s="4">
        <v>0.5</v>
      </c>
      <c r="D96" s="4">
        <f t="shared" si="104"/>
        <v>0.38109799999999999</v>
      </c>
      <c r="E96" s="4">
        <f t="shared" si="105"/>
        <v>14.8</v>
      </c>
      <c r="F96" s="4">
        <f t="shared" si="106"/>
        <v>2</v>
      </c>
      <c r="G96" s="4">
        <f t="shared" si="107"/>
        <v>3</v>
      </c>
      <c r="H96" s="4">
        <f t="shared" si="108"/>
        <v>666.2</v>
      </c>
      <c r="I96" s="6">
        <f t="shared" si="109"/>
        <v>0.28593000000000002</v>
      </c>
      <c r="J96" s="4">
        <f t="shared" si="110"/>
        <v>0.279451</v>
      </c>
      <c r="K96" s="4">
        <f t="shared" si="111"/>
        <v>0.57856099999999999</v>
      </c>
      <c r="O96" s="4" t="s">
        <v>17</v>
      </c>
      <c r="P96" s="4">
        <v>70</v>
      </c>
      <c r="Q96" s="4">
        <v>0.5</v>
      </c>
      <c r="R96" s="4">
        <f t="shared" si="112"/>
        <v>0.45345800000000003</v>
      </c>
      <c r="S96" s="4">
        <f t="shared" si="113"/>
        <v>11.8</v>
      </c>
      <c r="T96" s="4">
        <f t="shared" si="114"/>
        <v>0</v>
      </c>
      <c r="U96" s="4">
        <f t="shared" si="115"/>
        <v>5</v>
      </c>
      <c r="V96" s="4">
        <f t="shared" si="116"/>
        <v>669.2</v>
      </c>
      <c r="W96" s="6">
        <f t="shared" si="117"/>
        <v>0.458874</v>
      </c>
      <c r="X96" s="4">
        <f t="shared" si="118"/>
        <v>0.45272699999999999</v>
      </c>
      <c r="Y96" s="4">
        <f t="shared" si="119"/>
        <v>0.98267300000000002</v>
      </c>
      <c r="AB96" t="s">
        <v>24</v>
      </c>
      <c r="AC96">
        <v>10</v>
      </c>
      <c r="AD96">
        <v>0.4</v>
      </c>
      <c r="AE96" s="5">
        <v>0.51778599999999997</v>
      </c>
      <c r="AF96" s="14">
        <v>0</v>
      </c>
      <c r="AG96" s="14">
        <v>5</v>
      </c>
      <c r="AH96" s="14">
        <v>0</v>
      </c>
      <c r="AI96" s="14">
        <v>681</v>
      </c>
      <c r="AJ96" s="5">
        <v>0</v>
      </c>
      <c r="AK96" s="5">
        <v>0</v>
      </c>
      <c r="AL96" s="5">
        <v>0</v>
      </c>
    </row>
    <row r="97" spans="1:38" x14ac:dyDescent="0.25">
      <c r="A97" t="s">
        <v>11</v>
      </c>
      <c r="B97">
        <v>70</v>
      </c>
      <c r="C97">
        <v>0.6</v>
      </c>
      <c r="D97">
        <f t="shared" si="104"/>
        <v>0.38109799999999999</v>
      </c>
      <c r="E97">
        <f t="shared" si="105"/>
        <v>9.8000000000000007</v>
      </c>
      <c r="F97">
        <f t="shared" si="106"/>
        <v>3</v>
      </c>
      <c r="G97">
        <f t="shared" si="107"/>
        <v>2</v>
      </c>
      <c r="H97">
        <f t="shared" si="108"/>
        <v>671.2</v>
      </c>
      <c r="I97" s="5">
        <f t="shared" si="109"/>
        <v>0.239148</v>
      </c>
      <c r="J97">
        <f t="shared" si="110"/>
        <v>0.23399400000000001</v>
      </c>
      <c r="K97">
        <f t="shared" si="111"/>
        <v>0.38560899999999998</v>
      </c>
      <c r="O97" t="s">
        <v>17</v>
      </c>
      <c r="P97">
        <v>70</v>
      </c>
      <c r="Q97">
        <v>0.6</v>
      </c>
      <c r="R97">
        <f t="shared" si="112"/>
        <v>0.45345800000000003</v>
      </c>
      <c r="S97">
        <f t="shared" si="113"/>
        <v>5</v>
      </c>
      <c r="T97">
        <f t="shared" si="114"/>
        <v>1</v>
      </c>
      <c r="U97">
        <f t="shared" si="115"/>
        <v>4</v>
      </c>
      <c r="V97">
        <f t="shared" si="116"/>
        <v>676</v>
      </c>
      <c r="W97" s="5">
        <f t="shared" si="117"/>
        <v>0.57142899999999996</v>
      </c>
      <c r="X97">
        <f t="shared" si="118"/>
        <v>0.56737400000000004</v>
      </c>
      <c r="Y97">
        <f t="shared" si="119"/>
        <v>0.79265799999999997</v>
      </c>
      <c r="AB97" t="s">
        <v>24</v>
      </c>
      <c r="AC97">
        <v>10</v>
      </c>
      <c r="AD97">
        <v>0.5</v>
      </c>
      <c r="AE97" s="5">
        <v>0.51778599999999997</v>
      </c>
      <c r="AF97" s="14">
        <v>0</v>
      </c>
      <c r="AG97" s="14">
        <v>5</v>
      </c>
      <c r="AH97" s="14">
        <v>0</v>
      </c>
      <c r="AI97" s="14">
        <v>681</v>
      </c>
      <c r="AJ97" s="5">
        <v>0</v>
      </c>
      <c r="AK97" s="5">
        <v>0</v>
      </c>
      <c r="AL97" s="5">
        <v>0</v>
      </c>
    </row>
    <row r="98" spans="1:38" x14ac:dyDescent="0.25">
      <c r="A98" t="s">
        <v>11</v>
      </c>
      <c r="B98">
        <v>70</v>
      </c>
      <c r="C98">
        <v>0.7</v>
      </c>
      <c r="D98">
        <f t="shared" si="104"/>
        <v>0.38109799999999999</v>
      </c>
      <c r="E98">
        <f t="shared" si="105"/>
        <v>7.6</v>
      </c>
      <c r="F98">
        <f t="shared" si="106"/>
        <v>3.6</v>
      </c>
      <c r="G98">
        <f t="shared" si="107"/>
        <v>1.4</v>
      </c>
      <c r="H98">
        <f t="shared" si="108"/>
        <v>673.4</v>
      </c>
      <c r="I98" s="5">
        <f t="shared" si="109"/>
        <v>0.180672</v>
      </c>
      <c r="J98">
        <f t="shared" si="110"/>
        <v>0.17624100000000001</v>
      </c>
      <c r="K98">
        <f t="shared" si="111"/>
        <v>0.26884000000000002</v>
      </c>
      <c r="O98" t="s">
        <v>17</v>
      </c>
      <c r="P98">
        <v>70</v>
      </c>
      <c r="Q98">
        <v>0.7</v>
      </c>
      <c r="R98">
        <f t="shared" si="112"/>
        <v>0.45345800000000003</v>
      </c>
      <c r="S98">
        <f t="shared" si="113"/>
        <v>0</v>
      </c>
      <c r="T98">
        <f t="shared" si="114"/>
        <v>5</v>
      </c>
      <c r="U98">
        <f t="shared" si="115"/>
        <v>0</v>
      </c>
      <c r="V98">
        <f t="shared" si="116"/>
        <v>681</v>
      </c>
      <c r="W98" s="5">
        <f t="shared" si="117"/>
        <v>0</v>
      </c>
      <c r="X98">
        <f t="shared" si="118"/>
        <v>0</v>
      </c>
      <c r="Y98">
        <f t="shared" si="119"/>
        <v>0</v>
      </c>
      <c r="AB98" t="s">
        <v>24</v>
      </c>
      <c r="AC98">
        <v>10</v>
      </c>
      <c r="AD98">
        <v>0.6</v>
      </c>
      <c r="AE98" s="5">
        <v>0.51778599999999997</v>
      </c>
      <c r="AF98" s="14">
        <v>0</v>
      </c>
      <c r="AG98" s="14">
        <v>5</v>
      </c>
      <c r="AH98" s="14">
        <v>0</v>
      </c>
      <c r="AI98" s="14">
        <v>681</v>
      </c>
      <c r="AJ98" s="5">
        <v>0</v>
      </c>
      <c r="AK98" s="5">
        <v>0</v>
      </c>
      <c r="AL98" s="5">
        <v>0</v>
      </c>
    </row>
    <row r="99" spans="1:38" x14ac:dyDescent="0.25">
      <c r="A99" t="s">
        <v>11</v>
      </c>
      <c r="B99">
        <v>70</v>
      </c>
      <c r="C99">
        <v>0.8</v>
      </c>
      <c r="D99">
        <f t="shared" si="104"/>
        <v>0.38109799999999999</v>
      </c>
      <c r="E99">
        <f t="shared" si="105"/>
        <v>4.8</v>
      </c>
      <c r="F99">
        <f t="shared" si="106"/>
        <v>3.8</v>
      </c>
      <c r="G99">
        <f t="shared" si="107"/>
        <v>1.2</v>
      </c>
      <c r="H99">
        <f t="shared" si="108"/>
        <v>676.2</v>
      </c>
      <c r="I99" s="5">
        <f t="shared" si="109"/>
        <v>0.192</v>
      </c>
      <c r="J99">
        <f t="shared" si="110"/>
        <v>0.18825600000000001</v>
      </c>
      <c r="K99">
        <f t="shared" si="111"/>
        <v>0.23295199999999999</v>
      </c>
      <c r="O99" t="s">
        <v>17</v>
      </c>
      <c r="P99">
        <v>70</v>
      </c>
      <c r="Q99">
        <v>0.8</v>
      </c>
      <c r="R99">
        <f t="shared" si="112"/>
        <v>0.45345800000000003</v>
      </c>
      <c r="S99">
        <f t="shared" si="113"/>
        <v>0</v>
      </c>
      <c r="T99">
        <f t="shared" si="114"/>
        <v>5</v>
      </c>
      <c r="U99">
        <f t="shared" si="115"/>
        <v>0</v>
      </c>
      <c r="V99">
        <f t="shared" si="116"/>
        <v>681</v>
      </c>
      <c r="W99" s="5">
        <f t="shared" si="117"/>
        <v>0</v>
      </c>
      <c r="X99">
        <f t="shared" si="118"/>
        <v>0</v>
      </c>
      <c r="Y99">
        <f t="shared" si="119"/>
        <v>0</v>
      </c>
      <c r="AB99" t="s">
        <v>24</v>
      </c>
      <c r="AC99">
        <v>10</v>
      </c>
      <c r="AD99">
        <v>0.7</v>
      </c>
      <c r="AE99" s="5">
        <v>0.51778599999999997</v>
      </c>
      <c r="AF99" s="14">
        <v>0</v>
      </c>
      <c r="AG99" s="14">
        <v>5</v>
      </c>
      <c r="AH99" s="14">
        <v>0</v>
      </c>
      <c r="AI99" s="14">
        <v>681</v>
      </c>
      <c r="AJ99" s="5">
        <v>0</v>
      </c>
      <c r="AK99" s="5">
        <v>0</v>
      </c>
      <c r="AL99" s="5">
        <v>0</v>
      </c>
    </row>
    <row r="100" spans="1:38" x14ac:dyDescent="0.25">
      <c r="A100" t="s">
        <v>11</v>
      </c>
      <c r="B100">
        <v>70</v>
      </c>
      <c r="C100">
        <v>0.9</v>
      </c>
      <c r="D100">
        <f t="shared" si="104"/>
        <v>0.38109799999999999</v>
      </c>
      <c r="E100">
        <f t="shared" si="105"/>
        <v>2.4</v>
      </c>
      <c r="F100">
        <f t="shared" si="106"/>
        <v>4.4000000000000004</v>
      </c>
      <c r="G100">
        <f t="shared" si="107"/>
        <v>0.6</v>
      </c>
      <c r="H100">
        <f t="shared" si="108"/>
        <v>678.6</v>
      </c>
      <c r="I100" s="5">
        <f t="shared" si="109"/>
        <v>0.104202</v>
      </c>
      <c r="J100">
        <f t="shared" si="110"/>
        <v>0.10152700000000001</v>
      </c>
      <c r="K100">
        <f t="shared" si="111"/>
        <v>0.116769</v>
      </c>
      <c r="O100" t="s">
        <v>17</v>
      </c>
      <c r="P100">
        <v>70</v>
      </c>
      <c r="Q100">
        <v>0.9</v>
      </c>
      <c r="R100">
        <f t="shared" si="112"/>
        <v>0.45345800000000003</v>
      </c>
      <c r="S100">
        <f t="shared" si="113"/>
        <v>0</v>
      </c>
      <c r="T100">
        <f t="shared" si="114"/>
        <v>5</v>
      </c>
      <c r="U100">
        <f t="shared" si="115"/>
        <v>0</v>
      </c>
      <c r="V100">
        <f t="shared" si="116"/>
        <v>681</v>
      </c>
      <c r="W100" s="5">
        <f t="shared" si="117"/>
        <v>0</v>
      </c>
      <c r="X100">
        <f t="shared" si="118"/>
        <v>0</v>
      </c>
      <c r="Y100">
        <f t="shared" si="119"/>
        <v>0</v>
      </c>
      <c r="AB100" t="s">
        <v>24</v>
      </c>
      <c r="AC100">
        <v>10</v>
      </c>
      <c r="AD100">
        <v>0.8</v>
      </c>
      <c r="AE100" s="5">
        <v>0.51778599999999997</v>
      </c>
      <c r="AF100" s="14">
        <v>0</v>
      </c>
      <c r="AG100" s="14">
        <v>5</v>
      </c>
      <c r="AH100" s="14">
        <v>0</v>
      </c>
      <c r="AI100" s="14">
        <v>681</v>
      </c>
      <c r="AJ100" s="5">
        <v>0</v>
      </c>
      <c r="AK100" s="5">
        <v>0</v>
      </c>
      <c r="AL100" s="5">
        <v>0</v>
      </c>
    </row>
    <row r="101" spans="1:38" x14ac:dyDescent="0.25">
      <c r="AB101" t="s">
        <v>24</v>
      </c>
      <c r="AC101">
        <v>10</v>
      </c>
      <c r="AD101">
        <v>0.9</v>
      </c>
      <c r="AE101" s="5">
        <v>0.51778599999999997</v>
      </c>
      <c r="AF101" s="14">
        <v>0</v>
      </c>
      <c r="AG101" s="14">
        <v>5</v>
      </c>
      <c r="AH101" s="14">
        <v>0</v>
      </c>
      <c r="AI101" s="14">
        <v>681</v>
      </c>
      <c r="AJ101" s="5">
        <v>0</v>
      </c>
      <c r="AK101" s="5">
        <v>0</v>
      </c>
      <c r="AL101" s="5">
        <v>0</v>
      </c>
    </row>
    <row r="102" spans="1:38" x14ac:dyDescent="0.25">
      <c r="AB102" t="s">
        <v>24</v>
      </c>
      <c r="AC102">
        <v>20</v>
      </c>
      <c r="AD102">
        <v>0.1</v>
      </c>
      <c r="AE102" s="5">
        <v>0.49885499999999999</v>
      </c>
      <c r="AF102" s="14">
        <v>32.4</v>
      </c>
      <c r="AG102" s="14">
        <v>0</v>
      </c>
      <c r="AH102" s="14">
        <v>5</v>
      </c>
      <c r="AI102" s="14">
        <v>648.6</v>
      </c>
      <c r="AJ102" s="5">
        <v>0.23661399999999999</v>
      </c>
      <c r="AK102" s="5">
        <v>0.22667399999999999</v>
      </c>
      <c r="AL102" s="5">
        <v>0.95242300000000002</v>
      </c>
    </row>
    <row r="103" spans="1:38" x14ac:dyDescent="0.25"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s="5" t="s">
        <v>0</v>
      </c>
      <c r="J103" t="s">
        <v>0</v>
      </c>
      <c r="K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s="5" t="s">
        <v>0</v>
      </c>
      <c r="X103" t="s">
        <v>0</v>
      </c>
      <c r="Y103" t="s">
        <v>0</v>
      </c>
      <c r="AB103" t="s">
        <v>24</v>
      </c>
      <c r="AC103">
        <v>20</v>
      </c>
      <c r="AD103">
        <v>0.2</v>
      </c>
      <c r="AE103" s="5">
        <v>0.49885499999999999</v>
      </c>
      <c r="AF103" s="14">
        <v>17.2</v>
      </c>
      <c r="AG103" s="14">
        <v>0</v>
      </c>
      <c r="AH103" s="14">
        <v>5</v>
      </c>
      <c r="AI103" s="14">
        <v>663.8</v>
      </c>
      <c r="AJ103" s="5">
        <v>0.36836000000000002</v>
      </c>
      <c r="AK103" s="5">
        <v>0.36075600000000002</v>
      </c>
      <c r="AL103" s="5">
        <v>0.97474300000000003</v>
      </c>
    </row>
    <row r="104" spans="1:38" x14ac:dyDescent="0.25">
      <c r="A104" t="s">
        <v>1</v>
      </c>
      <c r="B104" t="s">
        <v>2</v>
      </c>
      <c r="C104" t="s">
        <v>13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s="5" t="s">
        <v>8</v>
      </c>
      <c r="J104" t="s">
        <v>9</v>
      </c>
      <c r="K104" t="s">
        <v>10</v>
      </c>
      <c r="O104" t="s">
        <v>1</v>
      </c>
      <c r="P104" t="s">
        <v>2</v>
      </c>
      <c r="Q104" t="s">
        <v>13</v>
      </c>
      <c r="R104" t="s">
        <v>3</v>
      </c>
      <c r="S104" t="s">
        <v>4</v>
      </c>
      <c r="T104" t="s">
        <v>5</v>
      </c>
      <c r="U104" t="s">
        <v>6</v>
      </c>
      <c r="V104" t="s">
        <v>7</v>
      </c>
      <c r="W104" s="5" t="s">
        <v>8</v>
      </c>
      <c r="X104" t="s">
        <v>9</v>
      </c>
      <c r="Y104" t="s">
        <v>10</v>
      </c>
      <c r="AB104" t="s">
        <v>24</v>
      </c>
      <c r="AC104">
        <v>20</v>
      </c>
      <c r="AD104">
        <v>0.3</v>
      </c>
      <c r="AE104" s="5">
        <v>0.49885499999999999</v>
      </c>
      <c r="AF104" s="14">
        <v>10.4</v>
      </c>
      <c r="AG104" s="14">
        <v>0.4</v>
      </c>
      <c r="AH104" s="14">
        <v>4.5999999999999996</v>
      </c>
      <c r="AI104" s="14">
        <v>670.6</v>
      </c>
      <c r="AJ104" s="5">
        <v>0.46727099999999999</v>
      </c>
      <c r="AK104" s="5">
        <v>0.46141300000000002</v>
      </c>
      <c r="AL104" s="5">
        <v>0.90472799999999998</v>
      </c>
    </row>
    <row r="105" spans="1:38" x14ac:dyDescent="0.25">
      <c r="A105" t="s">
        <v>11</v>
      </c>
      <c r="B105">
        <v>80</v>
      </c>
      <c r="C105">
        <v>0.1</v>
      </c>
      <c r="D105">
        <f t="shared" ref="D105:D113" si="120">AE75</f>
        <v>0.299572</v>
      </c>
      <c r="E105">
        <f t="shared" ref="E105:E113" si="121">AF75</f>
        <v>396</v>
      </c>
      <c r="F105">
        <f t="shared" ref="F105:F113" si="122">AG75</f>
        <v>0</v>
      </c>
      <c r="G105">
        <f t="shared" ref="G105:G113" si="123">AH75</f>
        <v>5</v>
      </c>
      <c r="H105">
        <f t="shared" ref="H105:H113" si="124">AI75</f>
        <v>285</v>
      </c>
      <c r="I105" s="5">
        <f t="shared" ref="I105:I113" si="125">AJ75</f>
        <v>3.5186000000000002E-2</v>
      </c>
      <c r="J105">
        <f t="shared" ref="J105:J113" si="126">AK75</f>
        <v>2.1166000000000001E-2</v>
      </c>
      <c r="K105">
        <f t="shared" ref="K105:K113" si="127">AL75</f>
        <v>0.41850199999999999</v>
      </c>
      <c r="O105" t="s">
        <v>17</v>
      </c>
      <c r="P105">
        <v>80</v>
      </c>
      <c r="Q105">
        <v>0.1</v>
      </c>
      <c r="R105">
        <f t="shared" ref="R105:R113" si="128">AE156</f>
        <v>0.44164599999999998</v>
      </c>
      <c r="S105">
        <f t="shared" ref="S105:S113" si="129">AF156</f>
        <v>133</v>
      </c>
      <c r="T105">
        <f t="shared" ref="T105:T113" si="130">AG156</f>
        <v>0</v>
      </c>
      <c r="U105">
        <f t="shared" ref="U105:U113" si="131">AH156</f>
        <v>5</v>
      </c>
      <c r="V105">
        <f t="shared" ref="V105:V113" si="132">AI156</f>
        <v>548</v>
      </c>
      <c r="W105" s="5">
        <f t="shared" ref="W105:W113" si="133">AJ156</f>
        <v>7.0211999999999997E-2</v>
      </c>
      <c r="X105">
        <f t="shared" ref="X105:X113" si="134">AK156</f>
        <v>5.6946999999999998E-2</v>
      </c>
      <c r="Y105">
        <f t="shared" ref="Y105:Y113" si="135">AL156</f>
        <v>0.80469900000000005</v>
      </c>
      <c r="AB105" t="s">
        <v>24</v>
      </c>
      <c r="AC105">
        <v>20</v>
      </c>
      <c r="AD105">
        <v>0.4</v>
      </c>
      <c r="AE105" s="5">
        <v>0.49885499999999999</v>
      </c>
      <c r="AF105" s="14">
        <v>3.2</v>
      </c>
      <c r="AG105" s="14">
        <v>2.6</v>
      </c>
      <c r="AH105" s="14">
        <v>2.4</v>
      </c>
      <c r="AI105" s="14">
        <v>677.8</v>
      </c>
      <c r="AJ105" s="5">
        <v>0.33523799999999998</v>
      </c>
      <c r="AK105" s="5">
        <v>0.3327</v>
      </c>
      <c r="AL105" s="5">
        <v>0.47530099999999997</v>
      </c>
    </row>
    <row r="106" spans="1:38" x14ac:dyDescent="0.25">
      <c r="A106" t="s">
        <v>11</v>
      </c>
      <c r="B106">
        <v>80</v>
      </c>
      <c r="C106">
        <v>0.2</v>
      </c>
      <c r="D106">
        <f t="shared" si="120"/>
        <v>0.299572</v>
      </c>
      <c r="E106">
        <f t="shared" si="121"/>
        <v>340.6</v>
      </c>
      <c r="F106">
        <f t="shared" si="122"/>
        <v>0.2</v>
      </c>
      <c r="G106">
        <f t="shared" si="123"/>
        <v>4.8</v>
      </c>
      <c r="H106">
        <f t="shared" si="124"/>
        <v>340.4</v>
      </c>
      <c r="I106" s="5">
        <f t="shared" si="125"/>
        <v>5.1133999999999999E-2</v>
      </c>
      <c r="J106">
        <f t="shared" si="126"/>
        <v>3.7478999999999998E-2</v>
      </c>
      <c r="K106">
        <f t="shared" si="127"/>
        <v>0.45985300000000001</v>
      </c>
      <c r="O106" t="s">
        <v>17</v>
      </c>
      <c r="P106">
        <v>80</v>
      </c>
      <c r="Q106">
        <v>0.2</v>
      </c>
      <c r="R106">
        <f t="shared" si="128"/>
        <v>0.44164599999999998</v>
      </c>
      <c r="S106">
        <f t="shared" si="129"/>
        <v>57</v>
      </c>
      <c r="T106">
        <f t="shared" si="130"/>
        <v>0</v>
      </c>
      <c r="U106">
        <f t="shared" si="131"/>
        <v>5</v>
      </c>
      <c r="V106">
        <f t="shared" si="132"/>
        <v>624</v>
      </c>
      <c r="W106" s="5">
        <f t="shared" si="133"/>
        <v>0.15192600000000001</v>
      </c>
      <c r="X106">
        <f t="shared" si="134"/>
        <v>0.140343</v>
      </c>
      <c r="Y106">
        <f t="shared" si="135"/>
        <v>0.9163</v>
      </c>
      <c r="AB106" t="s">
        <v>24</v>
      </c>
      <c r="AC106">
        <v>20</v>
      </c>
      <c r="AD106">
        <v>0.5</v>
      </c>
      <c r="AE106" s="5">
        <v>0.49885499999999999</v>
      </c>
      <c r="AF106" s="14">
        <v>0</v>
      </c>
      <c r="AG106" s="14">
        <v>5</v>
      </c>
      <c r="AH106" s="14">
        <v>0</v>
      </c>
      <c r="AI106" s="14">
        <v>681</v>
      </c>
      <c r="AJ106" s="5">
        <v>0</v>
      </c>
      <c r="AK106" s="5">
        <v>0</v>
      </c>
      <c r="AL106" s="5">
        <v>0</v>
      </c>
    </row>
    <row r="107" spans="1:38" x14ac:dyDescent="0.25">
      <c r="A107" t="s">
        <v>11</v>
      </c>
      <c r="B107">
        <v>80</v>
      </c>
      <c r="C107">
        <v>0.3</v>
      </c>
      <c r="D107">
        <f t="shared" si="120"/>
        <v>0.299572</v>
      </c>
      <c r="E107">
        <f t="shared" si="121"/>
        <v>315.60000000000002</v>
      </c>
      <c r="F107">
        <f t="shared" si="122"/>
        <v>0.2</v>
      </c>
      <c r="G107">
        <f t="shared" si="123"/>
        <v>4.8</v>
      </c>
      <c r="H107">
        <f t="shared" si="124"/>
        <v>365.4</v>
      </c>
      <c r="I107" s="5">
        <f t="shared" si="125"/>
        <v>7.6148999999999994E-2</v>
      </c>
      <c r="J107">
        <f t="shared" si="126"/>
        <v>6.3017000000000004E-2</v>
      </c>
      <c r="K107">
        <f t="shared" si="127"/>
        <v>0.49656400000000001</v>
      </c>
      <c r="O107" t="s">
        <v>17</v>
      </c>
      <c r="P107">
        <v>80</v>
      </c>
      <c r="Q107">
        <v>0.3</v>
      </c>
      <c r="R107">
        <f t="shared" si="128"/>
        <v>0.44164599999999998</v>
      </c>
      <c r="S107">
        <f t="shared" si="129"/>
        <v>26.6</v>
      </c>
      <c r="T107">
        <f t="shared" si="130"/>
        <v>0</v>
      </c>
      <c r="U107">
        <f t="shared" si="131"/>
        <v>5</v>
      </c>
      <c r="V107">
        <f t="shared" si="132"/>
        <v>654.4</v>
      </c>
      <c r="W107" s="5">
        <f t="shared" si="133"/>
        <v>0.27606799999999998</v>
      </c>
      <c r="X107">
        <f t="shared" si="134"/>
        <v>0.26684999999999998</v>
      </c>
      <c r="Y107">
        <f t="shared" si="135"/>
        <v>0.96094000000000002</v>
      </c>
      <c r="AB107" t="s">
        <v>24</v>
      </c>
      <c r="AC107">
        <v>20</v>
      </c>
      <c r="AD107">
        <v>0.6</v>
      </c>
      <c r="AE107" s="5">
        <v>0.49885499999999999</v>
      </c>
      <c r="AF107" s="14">
        <v>0</v>
      </c>
      <c r="AG107" s="14">
        <v>5</v>
      </c>
      <c r="AH107" s="14">
        <v>0</v>
      </c>
      <c r="AI107" s="14">
        <v>681</v>
      </c>
      <c r="AJ107" s="5">
        <v>0</v>
      </c>
      <c r="AK107" s="5">
        <v>0</v>
      </c>
      <c r="AL107" s="5">
        <v>0</v>
      </c>
    </row>
    <row r="108" spans="1:38" x14ac:dyDescent="0.25">
      <c r="A108" t="s">
        <v>11</v>
      </c>
      <c r="B108">
        <v>80</v>
      </c>
      <c r="C108">
        <v>0.4</v>
      </c>
      <c r="D108">
        <f t="shared" si="120"/>
        <v>0.299572</v>
      </c>
      <c r="E108">
        <f t="shared" si="121"/>
        <v>41.8</v>
      </c>
      <c r="F108">
        <f t="shared" si="122"/>
        <v>0.4</v>
      </c>
      <c r="G108">
        <f t="shared" si="123"/>
        <v>4.5999999999999996</v>
      </c>
      <c r="H108">
        <f t="shared" si="124"/>
        <v>639.20000000000005</v>
      </c>
      <c r="I108" s="5">
        <f t="shared" si="125"/>
        <v>0.19606699999999999</v>
      </c>
      <c r="J108">
        <f t="shared" si="126"/>
        <v>0.185415</v>
      </c>
      <c r="K108">
        <f t="shared" si="127"/>
        <v>0.85862000000000005</v>
      </c>
      <c r="O108" t="s">
        <v>17</v>
      </c>
      <c r="P108">
        <v>80</v>
      </c>
      <c r="Q108">
        <v>0.4</v>
      </c>
      <c r="R108">
        <f t="shared" si="128"/>
        <v>0.44164599999999998</v>
      </c>
      <c r="S108">
        <f t="shared" si="129"/>
        <v>17.399999999999999</v>
      </c>
      <c r="T108">
        <f t="shared" si="130"/>
        <v>0</v>
      </c>
      <c r="U108">
        <f t="shared" si="131"/>
        <v>5</v>
      </c>
      <c r="V108">
        <f t="shared" si="132"/>
        <v>663.6</v>
      </c>
      <c r="W108" s="5">
        <f t="shared" si="133"/>
        <v>0.36571399999999998</v>
      </c>
      <c r="X108">
        <f t="shared" si="134"/>
        <v>0.358066</v>
      </c>
      <c r="Y108">
        <f t="shared" si="135"/>
        <v>0.97444900000000001</v>
      </c>
      <c r="AB108" t="s">
        <v>24</v>
      </c>
      <c r="AC108">
        <v>20</v>
      </c>
      <c r="AD108">
        <v>0.7</v>
      </c>
      <c r="AE108" s="5">
        <v>0.49885499999999999</v>
      </c>
      <c r="AF108" s="14">
        <v>0</v>
      </c>
      <c r="AG108" s="14">
        <v>5</v>
      </c>
      <c r="AH108" s="14">
        <v>0</v>
      </c>
      <c r="AI108" s="14">
        <v>681</v>
      </c>
      <c r="AJ108" s="5">
        <v>0</v>
      </c>
      <c r="AK108" s="5">
        <v>0</v>
      </c>
      <c r="AL108" s="5">
        <v>0</v>
      </c>
    </row>
    <row r="109" spans="1:38" x14ac:dyDescent="0.25">
      <c r="A109" s="4" t="s">
        <v>11</v>
      </c>
      <c r="B109" s="4">
        <v>80</v>
      </c>
      <c r="C109" s="4">
        <v>0.5</v>
      </c>
      <c r="D109" s="4">
        <f t="shared" si="120"/>
        <v>0.299572</v>
      </c>
      <c r="E109" s="4">
        <f t="shared" si="121"/>
        <v>22</v>
      </c>
      <c r="F109" s="4">
        <f t="shared" si="122"/>
        <v>2.8</v>
      </c>
      <c r="G109" s="4">
        <f t="shared" si="123"/>
        <v>2.2000000000000002</v>
      </c>
      <c r="H109" s="4">
        <f t="shared" si="124"/>
        <v>659</v>
      </c>
      <c r="I109" s="6">
        <f t="shared" si="125"/>
        <v>0.10548200000000001</v>
      </c>
      <c r="J109" s="4">
        <f t="shared" si="126"/>
        <v>9.9069000000000004E-2</v>
      </c>
      <c r="K109" s="4">
        <f t="shared" si="127"/>
        <v>0.40769499999999997</v>
      </c>
      <c r="O109" s="4" t="s">
        <v>17</v>
      </c>
      <c r="P109" s="4">
        <v>80</v>
      </c>
      <c r="Q109" s="4">
        <v>0.5</v>
      </c>
      <c r="R109" s="4">
        <f t="shared" si="128"/>
        <v>0.44164599999999998</v>
      </c>
      <c r="S109" s="4">
        <f t="shared" si="129"/>
        <v>13.2</v>
      </c>
      <c r="T109" s="4">
        <f t="shared" si="130"/>
        <v>0</v>
      </c>
      <c r="U109" s="4">
        <f t="shared" si="131"/>
        <v>5</v>
      </c>
      <c r="V109" s="4">
        <f t="shared" si="132"/>
        <v>667.8</v>
      </c>
      <c r="W109" s="6">
        <f t="shared" si="133"/>
        <v>0.43148900000000001</v>
      </c>
      <c r="X109" s="4">
        <f t="shared" si="134"/>
        <v>0.42491299999999999</v>
      </c>
      <c r="Y109" s="4">
        <f t="shared" si="135"/>
        <v>0.98061699999999996</v>
      </c>
      <c r="AB109" t="s">
        <v>24</v>
      </c>
      <c r="AC109">
        <v>20</v>
      </c>
      <c r="AD109">
        <v>0.8</v>
      </c>
      <c r="AE109" s="5">
        <v>0.49885499999999999</v>
      </c>
      <c r="AF109" s="14">
        <v>0</v>
      </c>
      <c r="AG109" s="14">
        <v>5</v>
      </c>
      <c r="AH109" s="14">
        <v>0</v>
      </c>
      <c r="AI109" s="14">
        <v>681</v>
      </c>
      <c r="AJ109" s="5">
        <v>0</v>
      </c>
      <c r="AK109" s="5">
        <v>0</v>
      </c>
      <c r="AL109" s="5">
        <v>0</v>
      </c>
    </row>
    <row r="110" spans="1:38" x14ac:dyDescent="0.25">
      <c r="A110" t="s">
        <v>11</v>
      </c>
      <c r="B110">
        <v>80</v>
      </c>
      <c r="C110">
        <v>0.6</v>
      </c>
      <c r="D110">
        <f t="shared" si="120"/>
        <v>0.299572</v>
      </c>
      <c r="E110">
        <f t="shared" si="121"/>
        <v>15.8</v>
      </c>
      <c r="F110">
        <f t="shared" si="122"/>
        <v>3.4</v>
      </c>
      <c r="G110">
        <f t="shared" si="123"/>
        <v>1.6</v>
      </c>
      <c r="H110">
        <f t="shared" si="124"/>
        <v>665.2</v>
      </c>
      <c r="I110" s="5">
        <f t="shared" si="125"/>
        <v>9.7455E-2</v>
      </c>
      <c r="J110">
        <f t="shared" si="126"/>
        <v>9.1313000000000005E-2</v>
      </c>
      <c r="K110">
        <f t="shared" si="127"/>
        <v>0.29679899999999998</v>
      </c>
      <c r="O110" t="s">
        <v>17</v>
      </c>
      <c r="P110">
        <v>80</v>
      </c>
      <c r="Q110">
        <v>0.6</v>
      </c>
      <c r="R110">
        <f t="shared" si="128"/>
        <v>0.44164599999999998</v>
      </c>
      <c r="S110">
        <f t="shared" si="129"/>
        <v>5.2</v>
      </c>
      <c r="T110">
        <f t="shared" si="130"/>
        <v>1</v>
      </c>
      <c r="U110">
        <f t="shared" si="131"/>
        <v>4</v>
      </c>
      <c r="V110">
        <f t="shared" si="132"/>
        <v>675.8</v>
      </c>
      <c r="W110" s="5">
        <f t="shared" si="133"/>
        <v>0.56381000000000003</v>
      </c>
      <c r="X110">
        <f t="shared" si="134"/>
        <v>0.55964999999999998</v>
      </c>
      <c r="Y110">
        <f t="shared" si="135"/>
        <v>0.79236399999999996</v>
      </c>
      <c r="AB110" t="s">
        <v>24</v>
      </c>
      <c r="AC110">
        <v>20</v>
      </c>
      <c r="AD110">
        <v>0.9</v>
      </c>
      <c r="AE110" s="5">
        <v>0.49885499999999999</v>
      </c>
      <c r="AF110" s="14">
        <v>0</v>
      </c>
      <c r="AG110" s="14">
        <v>5</v>
      </c>
      <c r="AH110" s="14">
        <v>0</v>
      </c>
      <c r="AI110" s="14">
        <v>681</v>
      </c>
      <c r="AJ110" s="5">
        <v>0</v>
      </c>
      <c r="AK110" s="5">
        <v>0</v>
      </c>
      <c r="AL110" s="5">
        <v>0</v>
      </c>
    </row>
    <row r="111" spans="1:38" x14ac:dyDescent="0.25">
      <c r="A111" t="s">
        <v>11</v>
      </c>
      <c r="B111">
        <v>80</v>
      </c>
      <c r="C111">
        <v>0.7</v>
      </c>
      <c r="D111">
        <f t="shared" si="120"/>
        <v>0.299572</v>
      </c>
      <c r="E111">
        <f t="shared" si="121"/>
        <v>11</v>
      </c>
      <c r="F111">
        <f t="shared" si="122"/>
        <v>3.6</v>
      </c>
      <c r="G111">
        <f t="shared" si="123"/>
        <v>1.4</v>
      </c>
      <c r="H111">
        <f t="shared" si="124"/>
        <v>670</v>
      </c>
      <c r="I111" s="5">
        <f t="shared" si="125"/>
        <v>0.13028899999999999</v>
      </c>
      <c r="J111">
        <f t="shared" si="126"/>
        <v>0.125058</v>
      </c>
      <c r="K111">
        <f t="shared" si="127"/>
        <v>0.263847</v>
      </c>
      <c r="O111" t="s">
        <v>17</v>
      </c>
      <c r="P111">
        <v>80</v>
      </c>
      <c r="Q111">
        <v>0.7</v>
      </c>
      <c r="R111">
        <f t="shared" si="128"/>
        <v>0.44164599999999998</v>
      </c>
      <c r="S111">
        <f t="shared" si="129"/>
        <v>0</v>
      </c>
      <c r="T111">
        <f t="shared" si="130"/>
        <v>5</v>
      </c>
      <c r="U111">
        <f t="shared" si="131"/>
        <v>0</v>
      </c>
      <c r="V111">
        <f t="shared" si="132"/>
        <v>681</v>
      </c>
      <c r="W111" s="5">
        <f t="shared" si="133"/>
        <v>0</v>
      </c>
      <c r="X111">
        <f t="shared" si="134"/>
        <v>0</v>
      </c>
      <c r="Y111">
        <f t="shared" si="135"/>
        <v>0</v>
      </c>
      <c r="AB111" t="s">
        <v>24</v>
      </c>
      <c r="AC111">
        <v>30</v>
      </c>
      <c r="AD111">
        <v>0.1</v>
      </c>
      <c r="AE111" s="5">
        <v>0.495888</v>
      </c>
      <c r="AF111" s="14">
        <v>44.4</v>
      </c>
      <c r="AG111" s="14">
        <v>0</v>
      </c>
      <c r="AH111" s="14">
        <v>5</v>
      </c>
      <c r="AI111" s="14">
        <v>636.6</v>
      </c>
      <c r="AJ111" s="5">
        <v>0.18393499999999999</v>
      </c>
      <c r="AK111" s="5">
        <v>0.172988</v>
      </c>
      <c r="AL111" s="5">
        <v>0.93480200000000002</v>
      </c>
    </row>
    <row r="112" spans="1:38" x14ac:dyDescent="0.25">
      <c r="A112" t="s">
        <v>11</v>
      </c>
      <c r="B112">
        <v>80</v>
      </c>
      <c r="C112">
        <v>0.8</v>
      </c>
      <c r="D112">
        <f t="shared" si="120"/>
        <v>0.299572</v>
      </c>
      <c r="E112">
        <f t="shared" si="121"/>
        <v>7</v>
      </c>
      <c r="F112">
        <f t="shared" si="122"/>
        <v>3.8</v>
      </c>
      <c r="G112">
        <f t="shared" si="123"/>
        <v>1.2</v>
      </c>
      <c r="H112">
        <f t="shared" si="124"/>
        <v>674</v>
      </c>
      <c r="I112" s="5">
        <f t="shared" si="125"/>
        <v>0.19051100000000001</v>
      </c>
      <c r="J112">
        <f t="shared" si="126"/>
        <v>0.18662699999999999</v>
      </c>
      <c r="K112">
        <f t="shared" si="127"/>
        <v>0.22972100000000001</v>
      </c>
      <c r="O112" t="s">
        <v>17</v>
      </c>
      <c r="P112">
        <v>80</v>
      </c>
      <c r="Q112">
        <v>0.8</v>
      </c>
      <c r="R112">
        <f t="shared" si="128"/>
        <v>0.44164599999999998</v>
      </c>
      <c r="S112">
        <f t="shared" si="129"/>
        <v>0</v>
      </c>
      <c r="T112">
        <f t="shared" si="130"/>
        <v>5</v>
      </c>
      <c r="U112">
        <f t="shared" si="131"/>
        <v>0</v>
      </c>
      <c r="V112">
        <f t="shared" si="132"/>
        <v>681</v>
      </c>
      <c r="W112" s="5">
        <f t="shared" si="133"/>
        <v>0</v>
      </c>
      <c r="X112">
        <f t="shared" si="134"/>
        <v>0</v>
      </c>
      <c r="Y112">
        <f t="shared" si="135"/>
        <v>0</v>
      </c>
      <c r="AB112" t="s">
        <v>24</v>
      </c>
      <c r="AC112">
        <v>30</v>
      </c>
      <c r="AD112">
        <v>0.2</v>
      </c>
      <c r="AE112" s="5">
        <v>0.495888</v>
      </c>
      <c r="AF112" s="14">
        <v>21</v>
      </c>
      <c r="AG112" s="14">
        <v>0</v>
      </c>
      <c r="AH112" s="14">
        <v>5</v>
      </c>
      <c r="AI112" s="14">
        <v>660</v>
      </c>
      <c r="AJ112" s="5">
        <v>0.32258100000000001</v>
      </c>
      <c r="AK112" s="5">
        <v>0.31419599999999998</v>
      </c>
      <c r="AL112" s="5">
        <v>0.969163</v>
      </c>
    </row>
    <row r="113" spans="1:38" x14ac:dyDescent="0.25">
      <c r="A113" t="s">
        <v>11</v>
      </c>
      <c r="B113">
        <v>80</v>
      </c>
      <c r="C113">
        <v>0.9</v>
      </c>
      <c r="D113">
        <f t="shared" si="120"/>
        <v>0.299572</v>
      </c>
      <c r="E113">
        <f t="shared" si="121"/>
        <v>3.6</v>
      </c>
      <c r="F113">
        <f t="shared" si="122"/>
        <v>4.5999999999999996</v>
      </c>
      <c r="G113">
        <f t="shared" si="123"/>
        <v>0.4</v>
      </c>
      <c r="H113">
        <f t="shared" si="124"/>
        <v>677.4</v>
      </c>
      <c r="I113" s="5">
        <f t="shared" si="125"/>
        <v>3.4783000000000001E-2</v>
      </c>
      <c r="J113">
        <f t="shared" si="126"/>
        <v>3.1902E-2</v>
      </c>
      <c r="K113">
        <f t="shared" si="127"/>
        <v>7.5301000000000007E-2</v>
      </c>
      <c r="O113" t="s">
        <v>17</v>
      </c>
      <c r="P113">
        <v>80</v>
      </c>
      <c r="Q113">
        <v>0.9</v>
      </c>
      <c r="R113">
        <f t="shared" si="128"/>
        <v>0.44164599999999998</v>
      </c>
      <c r="S113">
        <f t="shared" si="129"/>
        <v>0</v>
      </c>
      <c r="T113">
        <f t="shared" si="130"/>
        <v>5</v>
      </c>
      <c r="U113">
        <f t="shared" si="131"/>
        <v>0</v>
      </c>
      <c r="V113">
        <f t="shared" si="132"/>
        <v>681</v>
      </c>
      <c r="W113" s="5">
        <f t="shared" si="133"/>
        <v>0</v>
      </c>
      <c r="X113">
        <f t="shared" si="134"/>
        <v>0</v>
      </c>
      <c r="Y113">
        <f t="shared" si="135"/>
        <v>0</v>
      </c>
      <c r="AB113" t="s">
        <v>24</v>
      </c>
      <c r="AC113">
        <v>30</v>
      </c>
      <c r="AD113">
        <v>0.3</v>
      </c>
      <c r="AE113" s="5">
        <v>0.495888</v>
      </c>
      <c r="AF113" s="14">
        <v>15</v>
      </c>
      <c r="AG113" s="14">
        <v>0</v>
      </c>
      <c r="AH113" s="14">
        <v>5</v>
      </c>
      <c r="AI113" s="14">
        <v>666</v>
      </c>
      <c r="AJ113" s="5">
        <v>0.4</v>
      </c>
      <c r="AK113" s="5">
        <v>0.39291999999999999</v>
      </c>
      <c r="AL113" s="5">
        <v>0.97797400000000001</v>
      </c>
    </row>
    <row r="114" spans="1:38" x14ac:dyDescent="0.25">
      <c r="AB114" t="s">
        <v>24</v>
      </c>
      <c r="AC114">
        <v>30</v>
      </c>
      <c r="AD114">
        <v>0.4</v>
      </c>
      <c r="AE114" s="5">
        <v>0.495888</v>
      </c>
      <c r="AF114" s="14">
        <v>10.6</v>
      </c>
      <c r="AG114" s="14">
        <v>0</v>
      </c>
      <c r="AH114" s="14">
        <v>5</v>
      </c>
      <c r="AI114" s="14">
        <v>670.4</v>
      </c>
      <c r="AJ114" s="5">
        <v>0.48571399999999998</v>
      </c>
      <c r="AK114" s="5">
        <v>0.47997400000000001</v>
      </c>
      <c r="AL114" s="5">
        <v>0.98443499999999995</v>
      </c>
    </row>
    <row r="115" spans="1:38" x14ac:dyDescent="0.25">
      <c r="AB115" t="s">
        <v>24</v>
      </c>
      <c r="AC115">
        <v>30</v>
      </c>
      <c r="AD115">
        <v>0.5</v>
      </c>
      <c r="AE115" s="5">
        <v>0.495888</v>
      </c>
      <c r="AF115" s="14">
        <v>5</v>
      </c>
      <c r="AG115" s="14">
        <v>1</v>
      </c>
      <c r="AH115" s="14">
        <v>4</v>
      </c>
      <c r="AI115" s="14">
        <v>676</v>
      </c>
      <c r="AJ115" s="5">
        <v>0.57142899999999996</v>
      </c>
      <c r="AK115" s="5">
        <v>0.56737400000000004</v>
      </c>
      <c r="AL115" s="5">
        <v>0.79265799999999997</v>
      </c>
    </row>
    <row r="116" spans="1:38" x14ac:dyDescent="0.25"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s="5" t="s">
        <v>0</v>
      </c>
      <c r="J116" t="s">
        <v>0</v>
      </c>
      <c r="K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s="5" t="s">
        <v>0</v>
      </c>
      <c r="X116" t="s">
        <v>0</v>
      </c>
      <c r="Y116" t="s">
        <v>0</v>
      </c>
      <c r="AB116" t="s">
        <v>24</v>
      </c>
      <c r="AC116">
        <v>30</v>
      </c>
      <c r="AD116">
        <v>0.6</v>
      </c>
      <c r="AE116" s="5">
        <v>0.495888</v>
      </c>
      <c r="AF116" s="14">
        <v>0</v>
      </c>
      <c r="AG116" s="14">
        <v>5</v>
      </c>
      <c r="AH116" s="14">
        <v>0</v>
      </c>
      <c r="AI116" s="14">
        <v>681</v>
      </c>
      <c r="AJ116" s="5">
        <v>0</v>
      </c>
      <c r="AK116" s="5">
        <v>0</v>
      </c>
      <c r="AL116" s="5">
        <v>0</v>
      </c>
    </row>
    <row r="117" spans="1:38" x14ac:dyDescent="0.25">
      <c r="A117" t="s">
        <v>1</v>
      </c>
      <c r="B117" t="s">
        <v>2</v>
      </c>
      <c r="C117" t="s">
        <v>13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s="5" t="s">
        <v>8</v>
      </c>
      <c r="J117" t="s">
        <v>9</v>
      </c>
      <c r="K117" t="s">
        <v>10</v>
      </c>
      <c r="O117" t="s">
        <v>1</v>
      </c>
      <c r="P117" t="s">
        <v>2</v>
      </c>
      <c r="Q117" t="s">
        <v>13</v>
      </c>
      <c r="R117" t="s">
        <v>3</v>
      </c>
      <c r="S117" t="s">
        <v>4</v>
      </c>
      <c r="T117" t="s">
        <v>5</v>
      </c>
      <c r="U117" t="s">
        <v>6</v>
      </c>
      <c r="V117" t="s">
        <v>7</v>
      </c>
      <c r="W117" s="5" t="s">
        <v>8</v>
      </c>
      <c r="X117" t="s">
        <v>9</v>
      </c>
      <c r="Y117" t="s">
        <v>10</v>
      </c>
      <c r="AB117" t="s">
        <v>24</v>
      </c>
      <c r="AC117">
        <v>30</v>
      </c>
      <c r="AD117">
        <v>0.7</v>
      </c>
      <c r="AE117" s="5">
        <v>0.495888</v>
      </c>
      <c r="AF117" s="14">
        <v>0</v>
      </c>
      <c r="AG117" s="14">
        <v>5</v>
      </c>
      <c r="AH117" s="14">
        <v>0</v>
      </c>
      <c r="AI117" s="14">
        <v>681</v>
      </c>
      <c r="AJ117" s="5">
        <v>0</v>
      </c>
      <c r="AK117" s="5">
        <v>0</v>
      </c>
      <c r="AL117" s="5">
        <v>0</v>
      </c>
    </row>
    <row r="118" spans="1:38" x14ac:dyDescent="0.25">
      <c r="A118" t="s">
        <v>11</v>
      </c>
      <c r="B118">
        <v>90</v>
      </c>
      <c r="C118">
        <v>0.1</v>
      </c>
      <c r="D118">
        <f t="shared" ref="D118:D126" si="136">AE84</f>
        <v>0.288159</v>
      </c>
      <c r="E118">
        <f t="shared" ref="E118:E126" si="137">AF84</f>
        <v>503.2</v>
      </c>
      <c r="F118">
        <f t="shared" ref="F118:F126" si="138">AG84</f>
        <v>0</v>
      </c>
      <c r="G118">
        <f t="shared" ref="G118:G126" si="139">AH84</f>
        <v>5</v>
      </c>
      <c r="H118">
        <f t="shared" ref="H118:H126" si="140">AI84</f>
        <v>177.8</v>
      </c>
      <c r="I118" s="5">
        <f t="shared" ref="I118:I126" si="141">AJ84</f>
        <v>2.5509E-2</v>
      </c>
      <c r="J118">
        <f t="shared" ref="J118:J126" si="142">AK84</f>
        <v>1.1278E-2</v>
      </c>
      <c r="K118">
        <f t="shared" ref="K118:K126" si="143">AL84</f>
        <v>0.26108700000000001</v>
      </c>
      <c r="O118" t="s">
        <v>17</v>
      </c>
      <c r="P118">
        <v>90</v>
      </c>
      <c r="Q118">
        <v>0.1</v>
      </c>
      <c r="R118">
        <f t="shared" ref="R118:R126" si="144">AE165</f>
        <v>0.42677799999999999</v>
      </c>
      <c r="S118">
        <f t="shared" ref="S118:S126" si="145">AF165</f>
        <v>335.4</v>
      </c>
      <c r="T118">
        <f t="shared" ref="T118:T126" si="146">AG165</f>
        <v>0</v>
      </c>
      <c r="U118">
        <f t="shared" ref="U118:U126" si="147">AH165</f>
        <v>5</v>
      </c>
      <c r="V118">
        <f t="shared" ref="V118:V126" si="148">AI165</f>
        <v>345.6</v>
      </c>
      <c r="W118" s="5">
        <f t="shared" ref="W118:W126" si="149">AJ165</f>
        <v>2.9253000000000001E-2</v>
      </c>
      <c r="X118">
        <f t="shared" ref="X118:X126" si="150">AK165</f>
        <v>1.5106E-2</v>
      </c>
      <c r="Y118">
        <f t="shared" ref="Y118:Y126" si="151">AL165</f>
        <v>0.50748899999999997</v>
      </c>
      <c r="AB118" t="s">
        <v>24</v>
      </c>
      <c r="AC118">
        <v>30</v>
      </c>
      <c r="AD118">
        <v>0.8</v>
      </c>
      <c r="AE118" s="5">
        <v>0.495888</v>
      </c>
      <c r="AF118" s="14">
        <v>0</v>
      </c>
      <c r="AG118" s="14">
        <v>5</v>
      </c>
      <c r="AH118" s="14">
        <v>0</v>
      </c>
      <c r="AI118" s="14">
        <v>681</v>
      </c>
      <c r="AJ118" s="5">
        <v>0</v>
      </c>
      <c r="AK118" s="5">
        <v>0</v>
      </c>
      <c r="AL118" s="5">
        <v>0</v>
      </c>
    </row>
    <row r="119" spans="1:38" x14ac:dyDescent="0.25">
      <c r="A119" t="s">
        <v>11</v>
      </c>
      <c r="B119">
        <v>90</v>
      </c>
      <c r="C119">
        <v>0.2</v>
      </c>
      <c r="D119">
        <f t="shared" si="136"/>
        <v>0.288159</v>
      </c>
      <c r="E119">
        <f t="shared" si="137"/>
        <v>472.2</v>
      </c>
      <c r="F119">
        <f t="shared" si="138"/>
        <v>0.2</v>
      </c>
      <c r="G119">
        <f t="shared" si="139"/>
        <v>4.8</v>
      </c>
      <c r="H119">
        <f t="shared" si="140"/>
        <v>208.8</v>
      </c>
      <c r="I119" s="5">
        <f t="shared" si="141"/>
        <v>3.0044999999999999E-2</v>
      </c>
      <c r="J119">
        <f t="shared" si="142"/>
        <v>1.5931000000000001E-2</v>
      </c>
      <c r="K119">
        <f t="shared" si="143"/>
        <v>0.26660800000000001</v>
      </c>
      <c r="O119" t="s">
        <v>17</v>
      </c>
      <c r="P119">
        <v>90</v>
      </c>
      <c r="Q119">
        <v>0.2</v>
      </c>
      <c r="R119">
        <f t="shared" si="144"/>
        <v>0.42677799999999999</v>
      </c>
      <c r="S119">
        <f t="shared" si="145"/>
        <v>72.8</v>
      </c>
      <c r="T119">
        <f t="shared" si="146"/>
        <v>0</v>
      </c>
      <c r="U119">
        <f t="shared" si="147"/>
        <v>5</v>
      </c>
      <c r="V119">
        <f t="shared" si="148"/>
        <v>608.20000000000005</v>
      </c>
      <c r="W119" s="5">
        <f t="shared" si="149"/>
        <v>0.12139800000000001</v>
      </c>
      <c r="X119">
        <f t="shared" si="150"/>
        <v>0.10920000000000001</v>
      </c>
      <c r="Y119">
        <f t="shared" si="151"/>
        <v>0.89309799999999995</v>
      </c>
      <c r="AB119" t="s">
        <v>24</v>
      </c>
      <c r="AC119">
        <v>30</v>
      </c>
      <c r="AD119">
        <v>0.9</v>
      </c>
      <c r="AE119" s="5">
        <v>0.495888</v>
      </c>
      <c r="AF119" s="14">
        <v>0</v>
      </c>
      <c r="AG119" s="14">
        <v>5</v>
      </c>
      <c r="AH119" s="14">
        <v>0</v>
      </c>
      <c r="AI119" s="14">
        <v>681</v>
      </c>
      <c r="AJ119" s="5">
        <v>0</v>
      </c>
      <c r="AK119" s="5">
        <v>0</v>
      </c>
      <c r="AL119" s="5">
        <v>0</v>
      </c>
    </row>
    <row r="120" spans="1:38" x14ac:dyDescent="0.25">
      <c r="A120" t="s">
        <v>11</v>
      </c>
      <c r="B120">
        <v>90</v>
      </c>
      <c r="C120">
        <v>0.3</v>
      </c>
      <c r="D120">
        <f t="shared" si="136"/>
        <v>0.288159</v>
      </c>
      <c r="E120">
        <f t="shared" si="137"/>
        <v>354</v>
      </c>
      <c r="F120">
        <f t="shared" si="138"/>
        <v>0.2</v>
      </c>
      <c r="G120">
        <f t="shared" si="139"/>
        <v>4.8</v>
      </c>
      <c r="H120">
        <f t="shared" si="140"/>
        <v>327</v>
      </c>
      <c r="I120" s="5">
        <f t="shared" si="141"/>
        <v>4.5020999999999999E-2</v>
      </c>
      <c r="J120">
        <f t="shared" si="142"/>
        <v>3.1233E-2</v>
      </c>
      <c r="K120">
        <f t="shared" si="143"/>
        <v>0.44017600000000001</v>
      </c>
      <c r="O120" t="s">
        <v>17</v>
      </c>
      <c r="P120">
        <v>90</v>
      </c>
      <c r="Q120">
        <v>0.3</v>
      </c>
      <c r="R120">
        <f t="shared" si="144"/>
        <v>0.42677799999999999</v>
      </c>
      <c r="S120">
        <f t="shared" si="145"/>
        <v>34.4</v>
      </c>
      <c r="T120">
        <f t="shared" si="146"/>
        <v>0</v>
      </c>
      <c r="U120">
        <f t="shared" si="147"/>
        <v>5</v>
      </c>
      <c r="V120">
        <f t="shared" si="148"/>
        <v>646.6</v>
      </c>
      <c r="W120" s="5">
        <f t="shared" si="149"/>
        <v>0.23241999999999999</v>
      </c>
      <c r="X120">
        <f t="shared" si="150"/>
        <v>0.222386</v>
      </c>
      <c r="Y120">
        <f t="shared" si="151"/>
        <v>0.94948600000000005</v>
      </c>
      <c r="AB120" t="s">
        <v>24</v>
      </c>
      <c r="AC120">
        <v>40</v>
      </c>
      <c r="AD120">
        <v>0.1</v>
      </c>
      <c r="AE120" s="5">
        <v>0.484238</v>
      </c>
      <c r="AF120" s="14">
        <v>58.4</v>
      </c>
      <c r="AG120" s="14">
        <v>0</v>
      </c>
      <c r="AH120" s="14">
        <v>5</v>
      </c>
      <c r="AI120" s="14">
        <v>622.6</v>
      </c>
      <c r="AJ120" s="5">
        <v>0.14669299999999999</v>
      </c>
      <c r="AK120" s="5">
        <v>0.13500799999999999</v>
      </c>
      <c r="AL120" s="5">
        <v>0.91424399999999995</v>
      </c>
    </row>
    <row r="121" spans="1:38" x14ac:dyDescent="0.25">
      <c r="A121" t="s">
        <v>11</v>
      </c>
      <c r="B121">
        <v>90</v>
      </c>
      <c r="C121">
        <v>0.4</v>
      </c>
      <c r="D121">
        <f t="shared" si="136"/>
        <v>0.288159</v>
      </c>
      <c r="E121">
        <f t="shared" si="137"/>
        <v>314.60000000000002</v>
      </c>
      <c r="F121">
        <f t="shared" si="138"/>
        <v>0.4</v>
      </c>
      <c r="G121">
        <f t="shared" si="139"/>
        <v>4.5999999999999996</v>
      </c>
      <c r="H121">
        <f t="shared" si="140"/>
        <v>366.4</v>
      </c>
      <c r="I121" s="5">
        <f t="shared" si="141"/>
        <v>7.8730999999999995E-2</v>
      </c>
      <c r="J121">
        <f t="shared" si="142"/>
        <v>6.5674999999999997E-2</v>
      </c>
      <c r="K121">
        <f t="shared" si="143"/>
        <v>0.45803199999999999</v>
      </c>
      <c r="O121" t="s">
        <v>17</v>
      </c>
      <c r="P121">
        <v>90</v>
      </c>
      <c r="Q121">
        <v>0.4</v>
      </c>
      <c r="R121">
        <f t="shared" si="144"/>
        <v>0.42677799999999999</v>
      </c>
      <c r="S121">
        <f t="shared" si="145"/>
        <v>19</v>
      </c>
      <c r="T121">
        <f t="shared" si="146"/>
        <v>0</v>
      </c>
      <c r="U121">
        <f t="shared" si="147"/>
        <v>5</v>
      </c>
      <c r="V121">
        <f t="shared" si="148"/>
        <v>662</v>
      </c>
      <c r="W121" s="5">
        <f t="shared" si="149"/>
        <v>0.346667</v>
      </c>
      <c r="X121">
        <f t="shared" si="150"/>
        <v>0.33869199999999999</v>
      </c>
      <c r="Y121">
        <f t="shared" si="151"/>
        <v>0.97209999999999996</v>
      </c>
      <c r="AB121" t="s">
        <v>24</v>
      </c>
      <c r="AC121">
        <v>40</v>
      </c>
      <c r="AD121">
        <v>0.2</v>
      </c>
      <c r="AE121" s="5">
        <v>0.484238</v>
      </c>
      <c r="AF121" s="14">
        <v>25.4</v>
      </c>
      <c r="AG121" s="14">
        <v>0</v>
      </c>
      <c r="AH121" s="14">
        <v>5</v>
      </c>
      <c r="AI121" s="14">
        <v>655.6</v>
      </c>
      <c r="AJ121" s="5">
        <v>0.28282800000000002</v>
      </c>
      <c r="AK121" s="5">
        <v>0.27373799999999998</v>
      </c>
      <c r="AL121" s="5">
        <v>0.96270199999999995</v>
      </c>
    </row>
    <row r="122" spans="1:38" x14ac:dyDescent="0.25">
      <c r="A122" s="4" t="s">
        <v>11</v>
      </c>
      <c r="B122" s="4">
        <v>90</v>
      </c>
      <c r="C122" s="4">
        <v>0.5</v>
      </c>
      <c r="D122" s="4">
        <f t="shared" si="136"/>
        <v>0.288159</v>
      </c>
      <c r="E122" s="4">
        <f t="shared" si="137"/>
        <v>28.6</v>
      </c>
      <c r="F122" s="4">
        <f t="shared" si="138"/>
        <v>2.4</v>
      </c>
      <c r="G122" s="4">
        <f t="shared" si="139"/>
        <v>2.6</v>
      </c>
      <c r="H122" s="4">
        <f t="shared" si="140"/>
        <v>652.4</v>
      </c>
      <c r="I122" s="6">
        <f t="shared" si="141"/>
        <v>0.13094500000000001</v>
      </c>
      <c r="J122" s="4">
        <f t="shared" si="142"/>
        <v>0.12475799999999999</v>
      </c>
      <c r="K122" s="4">
        <f t="shared" si="143"/>
        <v>0.47800300000000001</v>
      </c>
      <c r="O122" s="4" t="s">
        <v>17</v>
      </c>
      <c r="P122" s="4">
        <v>90</v>
      </c>
      <c r="Q122" s="4">
        <v>0.5</v>
      </c>
      <c r="R122" s="4">
        <f t="shared" si="144"/>
        <v>0.42677799999999999</v>
      </c>
      <c r="S122" s="4">
        <f t="shared" si="145"/>
        <v>13.6</v>
      </c>
      <c r="T122" s="4">
        <f t="shared" si="146"/>
        <v>0</v>
      </c>
      <c r="U122" s="4">
        <f t="shared" si="147"/>
        <v>5</v>
      </c>
      <c r="V122" s="4">
        <f t="shared" si="148"/>
        <v>667.4</v>
      </c>
      <c r="W122" s="6">
        <f t="shared" si="149"/>
        <v>0.42424200000000001</v>
      </c>
      <c r="X122" s="4">
        <f t="shared" si="150"/>
        <v>0.41755100000000001</v>
      </c>
      <c r="Y122" s="4">
        <f t="shared" si="151"/>
        <v>0.98002900000000004</v>
      </c>
      <c r="AB122" t="s">
        <v>24</v>
      </c>
      <c r="AC122">
        <v>40</v>
      </c>
      <c r="AD122">
        <v>0.3</v>
      </c>
      <c r="AE122" s="5">
        <v>0.484238</v>
      </c>
      <c r="AF122" s="14">
        <v>17.8</v>
      </c>
      <c r="AG122" s="14">
        <v>0</v>
      </c>
      <c r="AH122" s="14">
        <v>5</v>
      </c>
      <c r="AI122" s="14">
        <v>663.2</v>
      </c>
      <c r="AJ122" s="5">
        <v>0.359788</v>
      </c>
      <c r="AK122" s="5">
        <v>0.35204200000000002</v>
      </c>
      <c r="AL122" s="5">
        <v>0.97386200000000001</v>
      </c>
    </row>
    <row r="123" spans="1:38" x14ac:dyDescent="0.25">
      <c r="A123" t="s">
        <v>11</v>
      </c>
      <c r="B123">
        <v>90</v>
      </c>
      <c r="C123">
        <v>0.6</v>
      </c>
      <c r="D123">
        <f t="shared" si="136"/>
        <v>0.288159</v>
      </c>
      <c r="E123">
        <f t="shared" si="137"/>
        <v>21.4</v>
      </c>
      <c r="F123">
        <f t="shared" si="138"/>
        <v>3.6</v>
      </c>
      <c r="G123">
        <f t="shared" si="139"/>
        <v>1.4</v>
      </c>
      <c r="H123">
        <f t="shared" si="140"/>
        <v>659.6</v>
      </c>
      <c r="I123" s="5">
        <f t="shared" si="141"/>
        <v>0.11108700000000001</v>
      </c>
      <c r="J123">
        <f t="shared" si="142"/>
        <v>0.10528</v>
      </c>
      <c r="K123">
        <f t="shared" si="143"/>
        <v>0.24857599999999999</v>
      </c>
      <c r="O123" t="s">
        <v>17</v>
      </c>
      <c r="P123">
        <v>90</v>
      </c>
      <c r="Q123">
        <v>0.6</v>
      </c>
      <c r="R123">
        <f t="shared" si="144"/>
        <v>0.42677799999999999</v>
      </c>
      <c r="S123">
        <f t="shared" si="145"/>
        <v>5.2</v>
      </c>
      <c r="T123">
        <f t="shared" si="146"/>
        <v>1</v>
      </c>
      <c r="U123">
        <f t="shared" si="147"/>
        <v>4</v>
      </c>
      <c r="V123">
        <f t="shared" si="148"/>
        <v>675.8</v>
      </c>
      <c r="W123" s="5">
        <f t="shared" si="149"/>
        <v>0.56381000000000003</v>
      </c>
      <c r="X123">
        <f t="shared" si="150"/>
        <v>0.55964999999999998</v>
      </c>
      <c r="Y123">
        <f t="shared" si="151"/>
        <v>0.79236399999999996</v>
      </c>
      <c r="AB123" t="s">
        <v>24</v>
      </c>
      <c r="AC123">
        <v>40</v>
      </c>
      <c r="AD123">
        <v>0.4</v>
      </c>
      <c r="AE123" s="5">
        <v>0.484238</v>
      </c>
      <c r="AF123" s="14">
        <v>12.6</v>
      </c>
      <c r="AG123" s="14">
        <v>0</v>
      </c>
      <c r="AH123" s="14">
        <v>5</v>
      </c>
      <c r="AI123" s="14">
        <v>668.4</v>
      </c>
      <c r="AJ123" s="5">
        <v>0.44301699999999999</v>
      </c>
      <c r="AK123" s="5">
        <v>0.43662200000000001</v>
      </c>
      <c r="AL123" s="5">
        <v>0.98149799999999998</v>
      </c>
    </row>
    <row r="124" spans="1:38" x14ac:dyDescent="0.25">
      <c r="A124" t="s">
        <v>11</v>
      </c>
      <c r="B124">
        <v>90</v>
      </c>
      <c r="C124">
        <v>0.7</v>
      </c>
      <c r="D124">
        <f t="shared" si="136"/>
        <v>0.288159</v>
      </c>
      <c r="E124">
        <f t="shared" si="137"/>
        <v>16.399999999999999</v>
      </c>
      <c r="F124">
        <f t="shared" si="138"/>
        <v>4</v>
      </c>
      <c r="G124">
        <f t="shared" si="139"/>
        <v>1</v>
      </c>
      <c r="H124">
        <f t="shared" si="140"/>
        <v>664.6</v>
      </c>
      <c r="I124" s="5">
        <f t="shared" si="141"/>
        <v>4.7912000000000003E-2</v>
      </c>
      <c r="J124">
        <f t="shared" si="142"/>
        <v>4.2900000000000001E-2</v>
      </c>
      <c r="K124">
        <f t="shared" si="143"/>
        <v>0.17621100000000001</v>
      </c>
      <c r="O124" t="s">
        <v>17</v>
      </c>
      <c r="P124">
        <v>90</v>
      </c>
      <c r="Q124">
        <v>0.7</v>
      </c>
      <c r="R124">
        <f t="shared" si="144"/>
        <v>0.42677799999999999</v>
      </c>
      <c r="S124">
        <f t="shared" si="145"/>
        <v>0</v>
      </c>
      <c r="T124">
        <f t="shared" si="146"/>
        <v>5</v>
      </c>
      <c r="U124">
        <f t="shared" si="147"/>
        <v>0</v>
      </c>
      <c r="V124">
        <f t="shared" si="148"/>
        <v>681</v>
      </c>
      <c r="W124" s="5">
        <f t="shared" si="149"/>
        <v>0</v>
      </c>
      <c r="X124">
        <f t="shared" si="150"/>
        <v>0</v>
      </c>
      <c r="Y124">
        <f t="shared" si="151"/>
        <v>0</v>
      </c>
      <c r="AB124" t="s">
        <v>24</v>
      </c>
      <c r="AC124">
        <v>40</v>
      </c>
      <c r="AD124">
        <v>0.5</v>
      </c>
      <c r="AE124" s="5">
        <v>0.484238</v>
      </c>
      <c r="AF124" s="14">
        <v>5.8</v>
      </c>
      <c r="AG124" s="14">
        <v>1</v>
      </c>
      <c r="AH124" s="14">
        <v>4</v>
      </c>
      <c r="AI124" s="14">
        <v>675.2</v>
      </c>
      <c r="AJ124" s="5">
        <v>0.54095199999999999</v>
      </c>
      <c r="AK124" s="5">
        <v>0.53647800000000001</v>
      </c>
      <c r="AL124" s="5">
        <v>0.79148300000000005</v>
      </c>
    </row>
    <row r="125" spans="1:38" x14ac:dyDescent="0.25">
      <c r="A125" t="s">
        <v>11</v>
      </c>
      <c r="B125">
        <v>90</v>
      </c>
      <c r="C125">
        <v>0.8</v>
      </c>
      <c r="D125">
        <f t="shared" si="136"/>
        <v>0.288159</v>
      </c>
      <c r="E125">
        <f t="shared" si="137"/>
        <v>10.199999999999999</v>
      </c>
      <c r="F125">
        <f t="shared" si="138"/>
        <v>4</v>
      </c>
      <c r="G125">
        <f t="shared" si="139"/>
        <v>1</v>
      </c>
      <c r="H125">
        <f t="shared" si="140"/>
        <v>670.8</v>
      </c>
      <c r="I125" s="5">
        <f t="shared" si="141"/>
        <v>8.8888999999999996E-2</v>
      </c>
      <c r="J125">
        <f t="shared" si="142"/>
        <v>8.5361999999999993E-2</v>
      </c>
      <c r="K125">
        <f t="shared" si="143"/>
        <v>0.18502199999999999</v>
      </c>
      <c r="O125" t="s">
        <v>17</v>
      </c>
      <c r="P125">
        <v>90</v>
      </c>
      <c r="Q125">
        <v>0.8</v>
      </c>
      <c r="R125">
        <f t="shared" si="144"/>
        <v>0.42677799999999999</v>
      </c>
      <c r="S125">
        <f t="shared" si="145"/>
        <v>0</v>
      </c>
      <c r="T125">
        <f t="shared" si="146"/>
        <v>5</v>
      </c>
      <c r="U125">
        <f t="shared" si="147"/>
        <v>0</v>
      </c>
      <c r="V125">
        <f t="shared" si="148"/>
        <v>681</v>
      </c>
      <c r="W125" s="5">
        <f t="shared" si="149"/>
        <v>0</v>
      </c>
      <c r="X125">
        <f t="shared" si="150"/>
        <v>0</v>
      </c>
      <c r="Y125">
        <f t="shared" si="151"/>
        <v>0</v>
      </c>
      <c r="AB125" t="s">
        <v>24</v>
      </c>
      <c r="AC125">
        <v>40</v>
      </c>
      <c r="AD125">
        <v>0.6</v>
      </c>
      <c r="AE125" s="5">
        <v>0.484238</v>
      </c>
      <c r="AF125" s="14">
        <v>0.2</v>
      </c>
      <c r="AG125" s="14">
        <v>4.8</v>
      </c>
      <c r="AH125" s="14">
        <v>0.2</v>
      </c>
      <c r="AI125" s="14">
        <v>680.8</v>
      </c>
      <c r="AJ125" s="5">
        <v>5.7142999999999999E-2</v>
      </c>
      <c r="AK125" s="5">
        <v>5.6544999999999998E-2</v>
      </c>
      <c r="AL125" s="5">
        <v>3.9705999999999998E-2</v>
      </c>
    </row>
    <row r="126" spans="1:38" x14ac:dyDescent="0.25">
      <c r="A126" t="s">
        <v>11</v>
      </c>
      <c r="B126">
        <v>90</v>
      </c>
      <c r="C126">
        <v>0.9</v>
      </c>
      <c r="D126">
        <f t="shared" si="136"/>
        <v>0.288159</v>
      </c>
      <c r="E126">
        <f t="shared" si="137"/>
        <v>7.2</v>
      </c>
      <c r="F126">
        <f t="shared" si="138"/>
        <v>4.5999999999999996</v>
      </c>
      <c r="G126">
        <f t="shared" si="139"/>
        <v>0.4</v>
      </c>
      <c r="H126">
        <f t="shared" si="140"/>
        <v>673.8</v>
      </c>
      <c r="I126" s="5">
        <f t="shared" si="141"/>
        <v>1.9512000000000002E-2</v>
      </c>
      <c r="J126">
        <f t="shared" si="142"/>
        <v>1.6336E-2</v>
      </c>
      <c r="K126">
        <f t="shared" si="143"/>
        <v>7.0014999999999994E-2</v>
      </c>
      <c r="O126" t="s">
        <v>17</v>
      </c>
      <c r="P126">
        <v>90</v>
      </c>
      <c r="Q126">
        <v>0.9</v>
      </c>
      <c r="R126">
        <f t="shared" si="144"/>
        <v>0.42677799999999999</v>
      </c>
      <c r="S126">
        <f t="shared" si="145"/>
        <v>0</v>
      </c>
      <c r="T126">
        <f t="shared" si="146"/>
        <v>5</v>
      </c>
      <c r="U126">
        <f t="shared" si="147"/>
        <v>0</v>
      </c>
      <c r="V126">
        <f t="shared" si="148"/>
        <v>681</v>
      </c>
      <c r="W126" s="5">
        <f t="shared" si="149"/>
        <v>0</v>
      </c>
      <c r="X126">
        <f t="shared" si="150"/>
        <v>0</v>
      </c>
      <c r="Y126">
        <f t="shared" si="151"/>
        <v>0</v>
      </c>
      <c r="AB126" t="s">
        <v>24</v>
      </c>
      <c r="AC126">
        <v>40</v>
      </c>
      <c r="AD126">
        <v>0.7</v>
      </c>
      <c r="AE126" s="5">
        <v>0.484238</v>
      </c>
      <c r="AF126" s="14">
        <v>0</v>
      </c>
      <c r="AG126" s="14">
        <v>5</v>
      </c>
      <c r="AH126" s="14">
        <v>0</v>
      </c>
      <c r="AI126" s="14">
        <v>681</v>
      </c>
      <c r="AJ126" s="5">
        <v>0</v>
      </c>
      <c r="AK126" s="5">
        <v>0</v>
      </c>
      <c r="AL126" s="5">
        <v>0</v>
      </c>
    </row>
    <row r="127" spans="1:38" x14ac:dyDescent="0.25">
      <c r="AB127" t="s">
        <v>24</v>
      </c>
      <c r="AC127">
        <v>40</v>
      </c>
      <c r="AD127">
        <v>0.8</v>
      </c>
      <c r="AE127" s="5">
        <v>0.484238</v>
      </c>
      <c r="AF127" s="14">
        <v>0</v>
      </c>
      <c r="AG127" s="14">
        <v>5</v>
      </c>
      <c r="AH127" s="14">
        <v>0</v>
      </c>
      <c r="AI127" s="14">
        <v>681</v>
      </c>
      <c r="AJ127" s="5">
        <v>0</v>
      </c>
      <c r="AK127" s="5">
        <v>0</v>
      </c>
      <c r="AL127" s="5">
        <v>0</v>
      </c>
    </row>
    <row r="128" spans="1:38" x14ac:dyDescent="0.25">
      <c r="AB128" t="s">
        <v>24</v>
      </c>
      <c r="AC128">
        <v>40</v>
      </c>
      <c r="AD128">
        <v>0.9</v>
      </c>
      <c r="AE128" s="5">
        <v>0.484238</v>
      </c>
      <c r="AF128" s="14">
        <v>0</v>
      </c>
      <c r="AG128" s="14">
        <v>5</v>
      </c>
      <c r="AH128" s="14">
        <v>0</v>
      </c>
      <c r="AI128" s="14">
        <v>681</v>
      </c>
      <c r="AJ128" s="5">
        <v>0</v>
      </c>
      <c r="AK128" s="5">
        <v>0</v>
      </c>
      <c r="AL128" s="5">
        <v>0</v>
      </c>
    </row>
    <row r="129" spans="1:38" x14ac:dyDescent="0.25"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s="5" t="s">
        <v>0</v>
      </c>
      <c r="J129" t="s">
        <v>0</v>
      </c>
      <c r="K129" t="s">
        <v>0</v>
      </c>
      <c r="N129" s="9"/>
      <c r="AB129" t="s">
        <v>24</v>
      </c>
      <c r="AC129">
        <v>50</v>
      </c>
      <c r="AD129">
        <v>0.1</v>
      </c>
      <c r="AE129" s="5">
        <v>0.474466</v>
      </c>
      <c r="AF129" s="14">
        <v>69</v>
      </c>
      <c r="AG129" s="14">
        <v>0</v>
      </c>
      <c r="AH129" s="14">
        <v>5</v>
      </c>
      <c r="AI129" s="14">
        <v>612</v>
      </c>
      <c r="AJ129" s="5">
        <v>0.12689800000000001</v>
      </c>
      <c r="AK129" s="5">
        <v>0.114813</v>
      </c>
      <c r="AL129" s="5">
        <v>0.89867799999999998</v>
      </c>
    </row>
    <row r="130" spans="1:38" x14ac:dyDescent="0.25">
      <c r="A130" t="s">
        <v>1</v>
      </c>
      <c r="B130" t="s">
        <v>2</v>
      </c>
      <c r="C130" t="s">
        <v>13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s="5" t="s">
        <v>8</v>
      </c>
      <c r="J130" t="s">
        <v>9</v>
      </c>
      <c r="K130" t="s">
        <v>10</v>
      </c>
      <c r="M130" s="9"/>
      <c r="AB130" t="s">
        <v>24</v>
      </c>
      <c r="AC130">
        <v>50</v>
      </c>
      <c r="AD130">
        <v>0.2</v>
      </c>
      <c r="AE130" s="5">
        <v>0.474466</v>
      </c>
      <c r="AF130" s="14">
        <v>31.2</v>
      </c>
      <c r="AG130" s="14">
        <v>0</v>
      </c>
      <c r="AH130" s="14">
        <v>5</v>
      </c>
      <c r="AI130" s="14">
        <v>649.79999999999995</v>
      </c>
      <c r="AJ130" s="5">
        <v>0.243871</v>
      </c>
      <c r="AK130" s="5">
        <v>0.234065</v>
      </c>
      <c r="AL130" s="5">
        <v>0.95418499999999995</v>
      </c>
    </row>
    <row r="131" spans="1:38" x14ac:dyDescent="0.25">
      <c r="A131" t="s">
        <v>21</v>
      </c>
      <c r="B131">
        <v>10</v>
      </c>
      <c r="C131">
        <v>0.1</v>
      </c>
      <c r="D131" s="9">
        <f t="shared" ref="D131:K131" si="152">AE174</f>
        <v>0.66493100000000005</v>
      </c>
      <c r="E131" s="9">
        <f t="shared" si="152"/>
        <v>1.4</v>
      </c>
      <c r="F131" s="9">
        <f t="shared" si="152"/>
        <v>2.4</v>
      </c>
      <c r="G131" s="9">
        <f t="shared" si="152"/>
        <v>2.6</v>
      </c>
      <c r="H131" s="9">
        <f t="shared" si="152"/>
        <v>679.6</v>
      </c>
      <c r="I131" s="9">
        <f t="shared" si="152"/>
        <v>0.49593100000000001</v>
      </c>
      <c r="J131" s="9">
        <f t="shared" si="152"/>
        <v>0.494031</v>
      </c>
      <c r="K131" s="9">
        <f t="shared" si="152"/>
        <v>0.51794399999999996</v>
      </c>
      <c r="M131" s="9"/>
      <c r="AB131" t="s">
        <v>24</v>
      </c>
      <c r="AC131">
        <v>50</v>
      </c>
      <c r="AD131">
        <v>0.3</v>
      </c>
      <c r="AE131" s="5">
        <v>0.474466</v>
      </c>
      <c r="AF131" s="14">
        <v>19.600000000000001</v>
      </c>
      <c r="AG131" s="14">
        <v>0</v>
      </c>
      <c r="AH131" s="14">
        <v>5</v>
      </c>
      <c r="AI131" s="14">
        <v>661.4</v>
      </c>
      <c r="AJ131" s="5">
        <v>0.33809499999999998</v>
      </c>
      <c r="AK131" s="5">
        <v>0.32997900000000002</v>
      </c>
      <c r="AL131" s="5">
        <v>0.97121900000000005</v>
      </c>
    </row>
    <row r="132" spans="1:38" x14ac:dyDescent="0.25">
      <c r="A132" t="s">
        <v>21</v>
      </c>
      <c r="B132">
        <v>10</v>
      </c>
      <c r="C132">
        <v>0.2</v>
      </c>
      <c r="D132" s="9">
        <f t="shared" ref="D132:K132" si="153">AE175</f>
        <v>0.66493100000000005</v>
      </c>
      <c r="E132" s="9">
        <f t="shared" si="153"/>
        <v>0.6</v>
      </c>
      <c r="F132" s="9">
        <f t="shared" si="153"/>
        <v>4.5999999999999996</v>
      </c>
      <c r="G132" s="9">
        <f t="shared" si="153"/>
        <v>0.4</v>
      </c>
      <c r="H132" s="9">
        <f t="shared" si="153"/>
        <v>680.4</v>
      </c>
      <c r="I132" s="9">
        <f t="shared" si="153"/>
        <v>0.1</v>
      </c>
      <c r="J132" s="9">
        <f t="shared" si="153"/>
        <v>9.8475999999999994E-2</v>
      </c>
      <c r="K132" s="9">
        <f t="shared" si="153"/>
        <v>7.9705999999999999E-2</v>
      </c>
      <c r="AB132" t="s">
        <v>24</v>
      </c>
      <c r="AC132">
        <v>50</v>
      </c>
      <c r="AD132">
        <v>0.4</v>
      </c>
      <c r="AE132" s="5">
        <v>0.474466</v>
      </c>
      <c r="AF132" s="14">
        <v>14.8</v>
      </c>
      <c r="AG132" s="14">
        <v>0</v>
      </c>
      <c r="AH132" s="14">
        <v>5</v>
      </c>
      <c r="AI132" s="14">
        <v>666.2</v>
      </c>
      <c r="AJ132" s="5">
        <v>0.403333</v>
      </c>
      <c r="AK132" s="5">
        <v>0.39630799999999999</v>
      </c>
      <c r="AL132" s="5">
        <v>0.978267</v>
      </c>
    </row>
    <row r="133" spans="1:38" x14ac:dyDescent="0.25">
      <c r="A133" t="s">
        <v>21</v>
      </c>
      <c r="B133">
        <v>10</v>
      </c>
      <c r="C133">
        <v>0.3</v>
      </c>
      <c r="D133" s="9">
        <f t="shared" ref="D133:K133" si="154">AE176</f>
        <v>0.66493100000000005</v>
      </c>
      <c r="E133" s="9">
        <f t="shared" si="154"/>
        <v>0</v>
      </c>
      <c r="F133" s="9">
        <f t="shared" si="154"/>
        <v>5</v>
      </c>
      <c r="G133" s="9">
        <f t="shared" si="154"/>
        <v>0</v>
      </c>
      <c r="H133" s="9">
        <f t="shared" si="154"/>
        <v>681</v>
      </c>
      <c r="I133" s="9">
        <f t="shared" si="154"/>
        <v>0</v>
      </c>
      <c r="J133" s="9">
        <f t="shared" si="154"/>
        <v>0</v>
      </c>
      <c r="K133" s="9">
        <f t="shared" si="154"/>
        <v>0</v>
      </c>
      <c r="AB133" t="s">
        <v>24</v>
      </c>
      <c r="AC133">
        <v>50</v>
      </c>
      <c r="AD133">
        <v>0.5</v>
      </c>
      <c r="AE133" s="5">
        <v>0.474466</v>
      </c>
      <c r="AF133" s="14">
        <v>7.2</v>
      </c>
      <c r="AG133" s="14">
        <v>1</v>
      </c>
      <c r="AH133" s="14">
        <v>4</v>
      </c>
      <c r="AI133" s="14">
        <v>673.8</v>
      </c>
      <c r="AJ133" s="5">
        <v>0.49754399999999999</v>
      </c>
      <c r="AK133" s="5">
        <v>0.49242999999999998</v>
      </c>
      <c r="AL133" s="5">
        <v>0.78942699999999999</v>
      </c>
    </row>
    <row r="134" spans="1:38" x14ac:dyDescent="0.25">
      <c r="A134" t="s">
        <v>21</v>
      </c>
      <c r="B134">
        <v>10</v>
      </c>
      <c r="C134">
        <v>0.4</v>
      </c>
      <c r="D134" s="9">
        <f t="shared" ref="D134:K134" si="155">AE177</f>
        <v>0.66493100000000005</v>
      </c>
      <c r="E134" s="9">
        <f t="shared" si="155"/>
        <v>0</v>
      </c>
      <c r="F134" s="9">
        <f t="shared" si="155"/>
        <v>5</v>
      </c>
      <c r="G134" s="9">
        <f t="shared" si="155"/>
        <v>0</v>
      </c>
      <c r="H134" s="9">
        <f t="shared" si="155"/>
        <v>681</v>
      </c>
      <c r="I134" s="9">
        <f t="shared" si="155"/>
        <v>0</v>
      </c>
      <c r="J134" s="9">
        <f t="shared" si="155"/>
        <v>0</v>
      </c>
      <c r="K134" s="9">
        <f t="shared" si="155"/>
        <v>0</v>
      </c>
      <c r="AB134" t="s">
        <v>24</v>
      </c>
      <c r="AC134">
        <v>50</v>
      </c>
      <c r="AD134">
        <v>0.6</v>
      </c>
      <c r="AE134" s="5">
        <v>0.474466</v>
      </c>
      <c r="AF134" s="14">
        <v>1.6</v>
      </c>
      <c r="AG134" s="14">
        <v>3.2</v>
      </c>
      <c r="AH134" s="14">
        <v>1.8</v>
      </c>
      <c r="AI134" s="14">
        <v>679.4</v>
      </c>
      <c r="AJ134" s="5">
        <v>0.36190499999999998</v>
      </c>
      <c r="AK134" s="5">
        <v>0.35946400000000001</v>
      </c>
      <c r="AL134" s="5">
        <v>0.357651</v>
      </c>
    </row>
    <row r="135" spans="1:38" x14ac:dyDescent="0.25">
      <c r="A135" s="4" t="s">
        <v>21</v>
      </c>
      <c r="B135" s="4">
        <v>10</v>
      </c>
      <c r="C135" s="4">
        <v>0.5</v>
      </c>
      <c r="D135" s="10">
        <f t="shared" ref="D135:K135" si="156">AE178</f>
        <v>0.66493100000000005</v>
      </c>
      <c r="E135" s="10">
        <f t="shared" si="156"/>
        <v>0</v>
      </c>
      <c r="F135" s="10">
        <f t="shared" si="156"/>
        <v>5</v>
      </c>
      <c r="G135" s="10">
        <f t="shared" si="156"/>
        <v>0</v>
      </c>
      <c r="H135" s="10">
        <f t="shared" si="156"/>
        <v>681</v>
      </c>
      <c r="I135" s="10">
        <f t="shared" si="156"/>
        <v>0</v>
      </c>
      <c r="J135" s="10">
        <f t="shared" si="156"/>
        <v>0</v>
      </c>
      <c r="K135" s="10">
        <f t="shared" si="156"/>
        <v>0</v>
      </c>
      <c r="AB135" t="s">
        <v>24</v>
      </c>
      <c r="AC135">
        <v>50</v>
      </c>
      <c r="AD135">
        <v>0.7</v>
      </c>
      <c r="AE135" s="5">
        <v>0.474466</v>
      </c>
      <c r="AF135" s="14">
        <v>0</v>
      </c>
      <c r="AG135" s="14">
        <v>5</v>
      </c>
      <c r="AH135" s="14">
        <v>0</v>
      </c>
      <c r="AI135" s="14">
        <v>681</v>
      </c>
      <c r="AJ135" s="5">
        <v>0</v>
      </c>
      <c r="AK135" s="5">
        <v>0</v>
      </c>
      <c r="AL135" s="5">
        <v>0</v>
      </c>
    </row>
    <row r="136" spans="1:38" x14ac:dyDescent="0.25">
      <c r="A136" t="s">
        <v>21</v>
      </c>
      <c r="B136">
        <v>10</v>
      </c>
      <c r="C136">
        <v>0.6</v>
      </c>
      <c r="D136" s="9">
        <f t="shared" ref="D136:K136" si="157">AE179</f>
        <v>0.66493100000000005</v>
      </c>
      <c r="E136" s="9">
        <f t="shared" si="157"/>
        <v>0</v>
      </c>
      <c r="F136" s="9">
        <f t="shared" si="157"/>
        <v>5</v>
      </c>
      <c r="G136" s="9">
        <f t="shared" si="157"/>
        <v>0</v>
      </c>
      <c r="H136" s="9">
        <f t="shared" si="157"/>
        <v>681</v>
      </c>
      <c r="I136" s="9">
        <f t="shared" si="157"/>
        <v>0</v>
      </c>
      <c r="J136" s="9">
        <f t="shared" si="157"/>
        <v>0</v>
      </c>
      <c r="K136" s="9">
        <f t="shared" si="157"/>
        <v>0</v>
      </c>
      <c r="AB136" t="s">
        <v>24</v>
      </c>
      <c r="AC136">
        <v>50</v>
      </c>
      <c r="AD136">
        <v>0.8</v>
      </c>
      <c r="AE136" s="5">
        <v>0.474466</v>
      </c>
      <c r="AF136" s="14">
        <v>0</v>
      </c>
      <c r="AG136" s="14">
        <v>5</v>
      </c>
      <c r="AH136" s="14">
        <v>0</v>
      </c>
      <c r="AI136" s="14">
        <v>681</v>
      </c>
      <c r="AJ136" s="5">
        <v>0</v>
      </c>
      <c r="AK136" s="5">
        <v>0</v>
      </c>
      <c r="AL136" s="5">
        <v>0</v>
      </c>
    </row>
    <row r="137" spans="1:38" x14ac:dyDescent="0.25">
      <c r="A137" t="s">
        <v>21</v>
      </c>
      <c r="B137">
        <v>10</v>
      </c>
      <c r="C137">
        <v>0.7</v>
      </c>
      <c r="D137" s="9">
        <f t="shared" ref="D137:K137" si="158">AE180</f>
        <v>0.66493100000000005</v>
      </c>
      <c r="E137" s="9">
        <f t="shared" si="158"/>
        <v>0</v>
      </c>
      <c r="F137" s="9">
        <f t="shared" si="158"/>
        <v>5</v>
      </c>
      <c r="G137" s="9">
        <f t="shared" si="158"/>
        <v>0</v>
      </c>
      <c r="H137" s="9">
        <f t="shared" si="158"/>
        <v>681</v>
      </c>
      <c r="I137" s="9">
        <f t="shared" si="158"/>
        <v>0</v>
      </c>
      <c r="J137" s="9">
        <f t="shared" si="158"/>
        <v>0</v>
      </c>
      <c r="K137" s="9">
        <f t="shared" si="158"/>
        <v>0</v>
      </c>
      <c r="AB137" t="s">
        <v>24</v>
      </c>
      <c r="AC137">
        <v>50</v>
      </c>
      <c r="AD137">
        <v>0.9</v>
      </c>
      <c r="AE137" s="5">
        <v>0.474466</v>
      </c>
      <c r="AF137" s="14">
        <v>0</v>
      </c>
      <c r="AG137" s="14">
        <v>5</v>
      </c>
      <c r="AH137" s="14">
        <v>0</v>
      </c>
      <c r="AI137" s="14">
        <v>681</v>
      </c>
      <c r="AJ137" s="5">
        <v>0</v>
      </c>
      <c r="AK137" s="5">
        <v>0</v>
      </c>
      <c r="AL137" s="5">
        <v>0</v>
      </c>
    </row>
    <row r="138" spans="1:38" x14ac:dyDescent="0.25">
      <c r="A138" t="s">
        <v>21</v>
      </c>
      <c r="B138">
        <v>10</v>
      </c>
      <c r="C138">
        <v>0.8</v>
      </c>
      <c r="D138" s="9">
        <f t="shared" ref="D138:K138" si="159">AE181</f>
        <v>0.66493100000000005</v>
      </c>
      <c r="E138" s="9">
        <f t="shared" si="159"/>
        <v>0</v>
      </c>
      <c r="F138" s="9">
        <f t="shared" si="159"/>
        <v>5</v>
      </c>
      <c r="G138" s="9">
        <f t="shared" si="159"/>
        <v>0</v>
      </c>
      <c r="H138" s="9">
        <f t="shared" si="159"/>
        <v>681</v>
      </c>
      <c r="I138" s="9">
        <f t="shared" si="159"/>
        <v>0</v>
      </c>
      <c r="J138" s="9">
        <f t="shared" si="159"/>
        <v>0</v>
      </c>
      <c r="K138" s="9">
        <f t="shared" si="159"/>
        <v>0</v>
      </c>
      <c r="AB138" t="s">
        <v>24</v>
      </c>
      <c r="AC138">
        <v>60</v>
      </c>
      <c r="AD138">
        <v>0.1</v>
      </c>
      <c r="AE138" s="5">
        <v>0.46395700000000001</v>
      </c>
      <c r="AF138" s="14">
        <v>80.2</v>
      </c>
      <c r="AG138" s="14">
        <v>0</v>
      </c>
      <c r="AH138" s="14">
        <v>5</v>
      </c>
      <c r="AI138" s="14">
        <v>600.79999999999995</v>
      </c>
      <c r="AJ138" s="5">
        <v>0.11100500000000001</v>
      </c>
      <c r="AK138" s="5">
        <v>9.8594000000000001E-2</v>
      </c>
      <c r="AL138" s="5">
        <v>0.88223200000000002</v>
      </c>
    </row>
    <row r="139" spans="1:38" x14ac:dyDescent="0.25">
      <c r="A139" t="s">
        <v>21</v>
      </c>
      <c r="B139">
        <v>10</v>
      </c>
      <c r="C139">
        <v>0.9</v>
      </c>
      <c r="D139" s="9">
        <f t="shared" ref="D139:K139" si="160">AE182</f>
        <v>0.66493100000000005</v>
      </c>
      <c r="E139" s="9">
        <f t="shared" si="160"/>
        <v>0</v>
      </c>
      <c r="F139" s="9">
        <f t="shared" si="160"/>
        <v>5</v>
      </c>
      <c r="G139" s="9">
        <f t="shared" si="160"/>
        <v>0</v>
      </c>
      <c r="H139" s="9">
        <f t="shared" si="160"/>
        <v>681</v>
      </c>
      <c r="I139" s="9">
        <f t="shared" si="160"/>
        <v>0</v>
      </c>
      <c r="J139" s="9">
        <f t="shared" si="160"/>
        <v>0</v>
      </c>
      <c r="K139" s="9">
        <f t="shared" si="160"/>
        <v>0</v>
      </c>
      <c r="AB139" t="s">
        <v>24</v>
      </c>
      <c r="AC139">
        <v>60</v>
      </c>
      <c r="AD139">
        <v>0.2</v>
      </c>
      <c r="AE139" s="5">
        <v>0.46395700000000001</v>
      </c>
      <c r="AF139" s="14">
        <v>37.200000000000003</v>
      </c>
      <c r="AG139" s="14">
        <v>0</v>
      </c>
      <c r="AH139" s="14">
        <v>5</v>
      </c>
      <c r="AI139" s="14">
        <v>643.79999999999995</v>
      </c>
      <c r="AJ139" s="5">
        <v>0.21487000000000001</v>
      </c>
      <c r="AK139" s="5">
        <v>0.204514</v>
      </c>
      <c r="AL139" s="5">
        <v>0.94537400000000005</v>
      </c>
    </row>
    <row r="140" spans="1:38" x14ac:dyDescent="0.25">
      <c r="AB140" t="s">
        <v>24</v>
      </c>
      <c r="AC140">
        <v>60</v>
      </c>
      <c r="AD140">
        <v>0.3</v>
      </c>
      <c r="AE140" s="5">
        <v>0.46395700000000001</v>
      </c>
      <c r="AF140" s="14">
        <v>20.8</v>
      </c>
      <c r="AG140" s="14">
        <v>0</v>
      </c>
      <c r="AH140" s="14">
        <v>5</v>
      </c>
      <c r="AI140" s="14">
        <v>660.2</v>
      </c>
      <c r="AJ140" s="5">
        <v>0.32473099999999999</v>
      </c>
      <c r="AK140" s="5">
        <v>0.316384</v>
      </c>
      <c r="AL140" s="5">
        <v>0.96945700000000001</v>
      </c>
    </row>
    <row r="141" spans="1:38" x14ac:dyDescent="0.25"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s="5" t="s">
        <v>0</v>
      </c>
      <c r="J141" t="s">
        <v>0</v>
      </c>
      <c r="K141" t="s">
        <v>0</v>
      </c>
      <c r="AB141" t="s">
        <v>24</v>
      </c>
      <c r="AC141">
        <v>60</v>
      </c>
      <c r="AD141">
        <v>0.4</v>
      </c>
      <c r="AE141" s="5">
        <v>0.46395700000000001</v>
      </c>
      <c r="AF141" s="14">
        <v>15.4</v>
      </c>
      <c r="AG141" s="14">
        <v>0</v>
      </c>
      <c r="AH141" s="14">
        <v>5</v>
      </c>
      <c r="AI141" s="14">
        <v>665.6</v>
      </c>
      <c r="AJ141" s="5">
        <v>0.39384599999999997</v>
      </c>
      <c r="AK141" s="5">
        <v>0.38666600000000001</v>
      </c>
      <c r="AL141" s="5">
        <v>0.97738599999999998</v>
      </c>
    </row>
    <row r="142" spans="1:38" x14ac:dyDescent="0.25">
      <c r="A142" t="s">
        <v>1</v>
      </c>
      <c r="B142" t="s">
        <v>2</v>
      </c>
      <c r="C142" t="s">
        <v>13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s="5" t="s">
        <v>8</v>
      </c>
      <c r="J142" t="s">
        <v>9</v>
      </c>
      <c r="K142" t="s">
        <v>10</v>
      </c>
      <c r="AB142" t="s">
        <v>24</v>
      </c>
      <c r="AC142">
        <v>60</v>
      </c>
      <c r="AD142">
        <v>0.5</v>
      </c>
      <c r="AE142" s="5">
        <v>0.46395700000000001</v>
      </c>
      <c r="AF142" s="14">
        <v>10.4</v>
      </c>
      <c r="AG142" s="14">
        <v>0</v>
      </c>
      <c r="AH142" s="14">
        <v>5</v>
      </c>
      <c r="AI142" s="14">
        <v>670.6</v>
      </c>
      <c r="AJ142" s="5">
        <v>0.49047600000000002</v>
      </c>
      <c r="AK142" s="5">
        <v>0.48480699999999999</v>
      </c>
      <c r="AL142" s="5">
        <v>0.98472800000000005</v>
      </c>
    </row>
    <row r="143" spans="1:38" x14ac:dyDescent="0.25">
      <c r="A143" t="s">
        <v>21</v>
      </c>
      <c r="B143">
        <v>20</v>
      </c>
      <c r="C143">
        <v>0.1</v>
      </c>
      <c r="D143" s="9">
        <f t="shared" ref="D143:K143" si="161">AE183</f>
        <v>0.67806699999999998</v>
      </c>
      <c r="E143" s="9">
        <f t="shared" si="161"/>
        <v>14.6</v>
      </c>
      <c r="F143" s="9">
        <f t="shared" si="161"/>
        <v>0</v>
      </c>
      <c r="G143" s="9">
        <f t="shared" si="161"/>
        <v>5</v>
      </c>
      <c r="H143" s="9">
        <f t="shared" si="161"/>
        <v>666.4</v>
      </c>
      <c r="I143" s="9">
        <f t="shared" si="161"/>
        <v>0.406667</v>
      </c>
      <c r="J143" s="9">
        <f t="shared" si="161"/>
        <v>0.39969500000000002</v>
      </c>
      <c r="K143" s="9">
        <f t="shared" si="161"/>
        <v>0.97856100000000001</v>
      </c>
      <c r="AB143" t="s">
        <v>24</v>
      </c>
      <c r="AC143">
        <v>60</v>
      </c>
      <c r="AD143">
        <v>0.6</v>
      </c>
      <c r="AE143" s="5">
        <v>0.46395700000000001</v>
      </c>
      <c r="AF143" s="14">
        <v>3.2</v>
      </c>
      <c r="AG143" s="14">
        <v>1.2</v>
      </c>
      <c r="AH143" s="14">
        <v>3.8</v>
      </c>
      <c r="AI143" s="14">
        <v>677.8</v>
      </c>
      <c r="AJ143" s="5">
        <v>0.64069299999999996</v>
      </c>
      <c r="AK143" s="5">
        <v>0.63762700000000005</v>
      </c>
      <c r="AL143" s="5">
        <v>0.755301</v>
      </c>
    </row>
    <row r="144" spans="1:38" x14ac:dyDescent="0.25">
      <c r="A144" t="s">
        <v>21</v>
      </c>
      <c r="B144">
        <v>20</v>
      </c>
      <c r="C144">
        <v>0.2</v>
      </c>
      <c r="D144" s="9">
        <f t="shared" ref="D144:K144" si="162">AE184</f>
        <v>0.67806699999999998</v>
      </c>
      <c r="E144" s="9">
        <f t="shared" si="162"/>
        <v>5.4</v>
      </c>
      <c r="F144" s="9">
        <f t="shared" si="162"/>
        <v>0.4</v>
      </c>
      <c r="G144" s="9">
        <f t="shared" si="162"/>
        <v>4.5999999999999996</v>
      </c>
      <c r="H144" s="9">
        <f t="shared" si="162"/>
        <v>675.6</v>
      </c>
      <c r="I144" s="9">
        <f t="shared" si="162"/>
        <v>0.62229000000000001</v>
      </c>
      <c r="J144" s="9">
        <f t="shared" si="162"/>
        <v>0.61859500000000001</v>
      </c>
      <c r="K144" s="9">
        <f t="shared" si="162"/>
        <v>0.91207000000000005</v>
      </c>
      <c r="AB144" t="s">
        <v>24</v>
      </c>
      <c r="AC144">
        <v>60</v>
      </c>
      <c r="AD144">
        <v>0.7</v>
      </c>
      <c r="AE144" s="5">
        <v>0.46395700000000001</v>
      </c>
      <c r="AF144" s="14">
        <v>0</v>
      </c>
      <c r="AG144" s="14">
        <v>5</v>
      </c>
      <c r="AH144" s="14">
        <v>0</v>
      </c>
      <c r="AI144" s="14">
        <v>681</v>
      </c>
      <c r="AJ144" s="5">
        <v>0</v>
      </c>
      <c r="AK144" s="5">
        <v>0</v>
      </c>
      <c r="AL144" s="5">
        <v>0</v>
      </c>
    </row>
    <row r="145" spans="1:38" x14ac:dyDescent="0.25">
      <c r="A145" t="s">
        <v>21</v>
      </c>
      <c r="B145">
        <v>20</v>
      </c>
      <c r="C145">
        <v>0.3</v>
      </c>
      <c r="D145" s="9">
        <f t="shared" ref="D145:K145" si="163">AE185</f>
        <v>0.67806699999999998</v>
      </c>
      <c r="E145" s="9">
        <f t="shared" si="163"/>
        <v>3</v>
      </c>
      <c r="F145" s="9">
        <f t="shared" si="163"/>
        <v>1.4</v>
      </c>
      <c r="G145" s="9">
        <f t="shared" si="163"/>
        <v>3.6</v>
      </c>
      <c r="H145" s="9">
        <f t="shared" si="163"/>
        <v>678</v>
      </c>
      <c r="I145" s="9">
        <f t="shared" si="163"/>
        <v>0.61468500000000004</v>
      </c>
      <c r="J145" s="9">
        <f t="shared" si="163"/>
        <v>0.61160999999999999</v>
      </c>
      <c r="K145" s="9">
        <f t="shared" si="163"/>
        <v>0.71559499999999998</v>
      </c>
      <c r="AB145" t="s">
        <v>24</v>
      </c>
      <c r="AC145">
        <v>60</v>
      </c>
      <c r="AD145">
        <v>0.8</v>
      </c>
      <c r="AE145" s="5">
        <v>0.46395700000000001</v>
      </c>
      <c r="AF145" s="14">
        <v>0</v>
      </c>
      <c r="AG145" s="14">
        <v>5</v>
      </c>
      <c r="AH145" s="14">
        <v>0</v>
      </c>
      <c r="AI145" s="14">
        <v>681</v>
      </c>
      <c r="AJ145" s="5">
        <v>0</v>
      </c>
      <c r="AK145" s="5">
        <v>0</v>
      </c>
      <c r="AL145" s="5">
        <v>0</v>
      </c>
    </row>
    <row r="146" spans="1:38" x14ac:dyDescent="0.25">
      <c r="A146" t="s">
        <v>21</v>
      </c>
      <c r="B146">
        <v>20</v>
      </c>
      <c r="C146">
        <v>0.4</v>
      </c>
      <c r="D146" s="9">
        <f t="shared" ref="D146:K146" si="164">AE186</f>
        <v>0.67806699999999998</v>
      </c>
      <c r="E146" s="9">
        <f t="shared" si="164"/>
        <v>2</v>
      </c>
      <c r="F146" s="9">
        <f t="shared" si="164"/>
        <v>2.2000000000000002</v>
      </c>
      <c r="G146" s="9">
        <f t="shared" si="164"/>
        <v>2.8</v>
      </c>
      <c r="H146" s="9">
        <f t="shared" si="164"/>
        <v>679</v>
      </c>
      <c r="I146" s="9">
        <f t="shared" si="164"/>
        <v>0.51212100000000005</v>
      </c>
      <c r="J146" s="9">
        <f t="shared" si="164"/>
        <v>0.50950399999999996</v>
      </c>
      <c r="K146" s="9">
        <f t="shared" si="164"/>
        <v>0.55735699999999999</v>
      </c>
      <c r="AB146" t="s">
        <v>24</v>
      </c>
      <c r="AC146">
        <v>60</v>
      </c>
      <c r="AD146">
        <v>0.9</v>
      </c>
      <c r="AE146" s="5">
        <v>0.46395700000000001</v>
      </c>
      <c r="AF146" s="14">
        <v>0</v>
      </c>
      <c r="AG146" s="14">
        <v>5</v>
      </c>
      <c r="AH146" s="14">
        <v>0</v>
      </c>
      <c r="AI146" s="14">
        <v>681</v>
      </c>
      <c r="AJ146" s="5">
        <v>0</v>
      </c>
      <c r="AK146" s="5">
        <v>0</v>
      </c>
      <c r="AL146" s="5">
        <v>0</v>
      </c>
    </row>
    <row r="147" spans="1:38" x14ac:dyDescent="0.25">
      <c r="A147" s="4" t="s">
        <v>21</v>
      </c>
      <c r="B147" s="4">
        <v>20</v>
      </c>
      <c r="C147" s="4">
        <v>0.5</v>
      </c>
      <c r="D147" s="10">
        <f t="shared" ref="D147:K147" si="165">AE187</f>
        <v>0.67806699999999998</v>
      </c>
      <c r="E147" s="10">
        <f t="shared" si="165"/>
        <v>0.8</v>
      </c>
      <c r="F147" s="10">
        <f t="shared" si="165"/>
        <v>3.2</v>
      </c>
      <c r="G147" s="10">
        <f t="shared" si="165"/>
        <v>1.8</v>
      </c>
      <c r="H147" s="10">
        <f t="shared" si="165"/>
        <v>680.2</v>
      </c>
      <c r="I147" s="10">
        <f t="shared" si="165"/>
        <v>0.39333299999999999</v>
      </c>
      <c r="J147" s="10">
        <f t="shared" si="165"/>
        <v>0.39156800000000003</v>
      </c>
      <c r="K147" s="10">
        <f t="shared" si="165"/>
        <v>0.35911900000000002</v>
      </c>
      <c r="AB147" t="s">
        <v>24</v>
      </c>
      <c r="AC147">
        <v>70</v>
      </c>
      <c r="AD147">
        <v>0.1</v>
      </c>
      <c r="AE147" s="5">
        <v>0.45345800000000003</v>
      </c>
      <c r="AF147" s="14">
        <v>90.6</v>
      </c>
      <c r="AG147" s="14">
        <v>0</v>
      </c>
      <c r="AH147" s="14">
        <v>5</v>
      </c>
      <c r="AI147" s="14">
        <v>590.4</v>
      </c>
      <c r="AJ147" s="5">
        <v>9.9459000000000006E-2</v>
      </c>
      <c r="AK147" s="5">
        <v>8.6808999999999997E-2</v>
      </c>
      <c r="AL147" s="5">
        <v>0.86695999999999995</v>
      </c>
    </row>
    <row r="148" spans="1:38" x14ac:dyDescent="0.25">
      <c r="A148" t="s">
        <v>21</v>
      </c>
      <c r="B148">
        <v>20</v>
      </c>
      <c r="C148">
        <v>0.6</v>
      </c>
      <c r="D148" s="9">
        <f t="shared" ref="D148:K148" si="166">AE188</f>
        <v>0.67806699999999998</v>
      </c>
      <c r="E148" s="9">
        <f t="shared" si="166"/>
        <v>0.6</v>
      </c>
      <c r="F148" s="9">
        <f t="shared" si="166"/>
        <v>5</v>
      </c>
      <c r="G148" s="9">
        <f t="shared" si="166"/>
        <v>0</v>
      </c>
      <c r="H148" s="9">
        <f t="shared" si="166"/>
        <v>680.4</v>
      </c>
      <c r="I148" s="9">
        <f t="shared" si="166"/>
        <v>0</v>
      </c>
      <c r="J148" s="9">
        <f t="shared" si="166"/>
        <v>-1.4610000000000001E-3</v>
      </c>
      <c r="K148" s="9">
        <f t="shared" si="166"/>
        <v>0</v>
      </c>
      <c r="AB148" t="s">
        <v>24</v>
      </c>
      <c r="AC148">
        <v>70</v>
      </c>
      <c r="AD148">
        <v>0.2</v>
      </c>
      <c r="AE148" s="5">
        <v>0.45345800000000003</v>
      </c>
      <c r="AF148" s="14">
        <v>44.8</v>
      </c>
      <c r="AG148" s="14">
        <v>0</v>
      </c>
      <c r="AH148" s="14">
        <v>5</v>
      </c>
      <c r="AI148" s="14">
        <v>636.20000000000005</v>
      </c>
      <c r="AJ148" s="5">
        <v>0.18524399999999999</v>
      </c>
      <c r="AK148" s="5">
        <v>0.174318</v>
      </c>
      <c r="AL148" s="5">
        <v>0.93421399999999999</v>
      </c>
    </row>
    <row r="149" spans="1:38" x14ac:dyDescent="0.25">
      <c r="A149" t="s">
        <v>21</v>
      </c>
      <c r="B149">
        <v>20</v>
      </c>
      <c r="C149">
        <v>0.7</v>
      </c>
      <c r="D149" s="9">
        <f t="shared" ref="D149:K149" si="167">AE189</f>
        <v>0.67806699999999998</v>
      </c>
      <c r="E149" s="9">
        <f t="shared" si="167"/>
        <v>0</v>
      </c>
      <c r="F149" s="9">
        <f t="shared" si="167"/>
        <v>5</v>
      </c>
      <c r="G149" s="9">
        <f t="shared" si="167"/>
        <v>0</v>
      </c>
      <c r="H149" s="9">
        <f t="shared" si="167"/>
        <v>681</v>
      </c>
      <c r="I149" s="9">
        <f t="shared" si="167"/>
        <v>0</v>
      </c>
      <c r="J149" s="9">
        <f t="shared" si="167"/>
        <v>0</v>
      </c>
      <c r="K149" s="9">
        <f t="shared" si="167"/>
        <v>0</v>
      </c>
      <c r="AB149" t="s">
        <v>24</v>
      </c>
      <c r="AC149">
        <v>70</v>
      </c>
      <c r="AD149">
        <v>0.3</v>
      </c>
      <c r="AE149" s="5">
        <v>0.45345800000000003</v>
      </c>
      <c r="AF149" s="14">
        <v>23.2</v>
      </c>
      <c r="AG149" s="14">
        <v>0</v>
      </c>
      <c r="AH149" s="14">
        <v>5</v>
      </c>
      <c r="AI149" s="14">
        <v>657.8</v>
      </c>
      <c r="AJ149" s="5">
        <v>0.30227599999999999</v>
      </c>
      <c r="AK149" s="5">
        <v>0.29353200000000002</v>
      </c>
      <c r="AL149" s="5">
        <v>0.96593200000000001</v>
      </c>
    </row>
    <row r="150" spans="1:38" x14ac:dyDescent="0.25">
      <c r="A150" t="s">
        <v>21</v>
      </c>
      <c r="B150">
        <v>20</v>
      </c>
      <c r="C150">
        <v>0.8</v>
      </c>
      <c r="D150" s="9">
        <f t="shared" ref="D150:K150" si="168">AE190</f>
        <v>0.67806699999999998</v>
      </c>
      <c r="E150" s="9">
        <f t="shared" si="168"/>
        <v>0</v>
      </c>
      <c r="F150" s="9">
        <f t="shared" si="168"/>
        <v>5</v>
      </c>
      <c r="G150" s="9">
        <f t="shared" si="168"/>
        <v>0</v>
      </c>
      <c r="H150" s="9">
        <f t="shared" si="168"/>
        <v>681</v>
      </c>
      <c r="I150" s="9">
        <f t="shared" si="168"/>
        <v>0</v>
      </c>
      <c r="J150" s="9">
        <f t="shared" si="168"/>
        <v>0</v>
      </c>
      <c r="K150" s="9">
        <f t="shared" si="168"/>
        <v>0</v>
      </c>
      <c r="AB150" t="s">
        <v>24</v>
      </c>
      <c r="AC150">
        <v>70</v>
      </c>
      <c r="AD150">
        <v>0.4</v>
      </c>
      <c r="AE150" s="5">
        <v>0.45345800000000003</v>
      </c>
      <c r="AF150" s="14">
        <v>17</v>
      </c>
      <c r="AG150" s="14">
        <v>0</v>
      </c>
      <c r="AH150" s="14">
        <v>5</v>
      </c>
      <c r="AI150" s="14">
        <v>664</v>
      </c>
      <c r="AJ150" s="5">
        <v>0.37100499999999997</v>
      </c>
      <c r="AK150" s="5">
        <v>0.36344599999999999</v>
      </c>
      <c r="AL150" s="5">
        <v>0.97503700000000004</v>
      </c>
    </row>
    <row r="151" spans="1:38" x14ac:dyDescent="0.25">
      <c r="A151" t="s">
        <v>21</v>
      </c>
      <c r="B151">
        <v>20</v>
      </c>
      <c r="C151">
        <v>0.9</v>
      </c>
      <c r="D151" s="9">
        <f t="shared" ref="D151:K151" si="169">AE191</f>
        <v>0.67806699999999998</v>
      </c>
      <c r="E151" s="9">
        <f t="shared" si="169"/>
        <v>0</v>
      </c>
      <c r="F151" s="9">
        <f t="shared" si="169"/>
        <v>5</v>
      </c>
      <c r="G151" s="9">
        <f t="shared" si="169"/>
        <v>0</v>
      </c>
      <c r="H151" s="9">
        <f t="shared" si="169"/>
        <v>681</v>
      </c>
      <c r="I151" s="9">
        <f t="shared" si="169"/>
        <v>0</v>
      </c>
      <c r="J151" s="9">
        <f t="shared" si="169"/>
        <v>0</v>
      </c>
      <c r="K151" s="9">
        <f t="shared" si="169"/>
        <v>0</v>
      </c>
      <c r="AB151" t="s">
        <v>24</v>
      </c>
      <c r="AC151">
        <v>70</v>
      </c>
      <c r="AD151">
        <v>0.5</v>
      </c>
      <c r="AE151" s="5">
        <v>0.45345800000000003</v>
      </c>
      <c r="AF151" s="14">
        <v>11.8</v>
      </c>
      <c r="AG151" s="14">
        <v>0</v>
      </c>
      <c r="AH151" s="14">
        <v>5</v>
      </c>
      <c r="AI151" s="14">
        <v>669.2</v>
      </c>
      <c r="AJ151" s="5">
        <v>0.458874</v>
      </c>
      <c r="AK151" s="5">
        <v>0.45272699999999999</v>
      </c>
      <c r="AL151" s="5">
        <v>0.98267300000000002</v>
      </c>
    </row>
    <row r="152" spans="1:38" x14ac:dyDescent="0.25">
      <c r="AB152" t="s">
        <v>24</v>
      </c>
      <c r="AC152">
        <v>70</v>
      </c>
      <c r="AD152">
        <v>0.6</v>
      </c>
      <c r="AE152" s="5">
        <v>0.45345800000000003</v>
      </c>
      <c r="AF152" s="14">
        <v>5</v>
      </c>
      <c r="AG152" s="14">
        <v>1</v>
      </c>
      <c r="AH152" s="14">
        <v>4</v>
      </c>
      <c r="AI152" s="14">
        <v>676</v>
      </c>
      <c r="AJ152" s="5">
        <v>0.57142899999999996</v>
      </c>
      <c r="AK152" s="5">
        <v>0.56737400000000004</v>
      </c>
      <c r="AL152" s="5">
        <v>0.79265799999999997</v>
      </c>
    </row>
    <row r="153" spans="1:38" x14ac:dyDescent="0.25">
      <c r="AB153" t="s">
        <v>24</v>
      </c>
      <c r="AC153">
        <v>70</v>
      </c>
      <c r="AD153">
        <v>0.7</v>
      </c>
      <c r="AE153" s="5">
        <v>0.45345800000000003</v>
      </c>
      <c r="AF153" s="14">
        <v>0</v>
      </c>
      <c r="AG153" s="14">
        <v>5</v>
      </c>
      <c r="AH153" s="14">
        <v>0</v>
      </c>
      <c r="AI153" s="14">
        <v>681</v>
      </c>
      <c r="AJ153" s="5">
        <v>0</v>
      </c>
      <c r="AK153" s="5">
        <v>0</v>
      </c>
      <c r="AL153" s="5">
        <v>0</v>
      </c>
    </row>
    <row r="154" spans="1:38" x14ac:dyDescent="0.25"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s="5" t="s">
        <v>0</v>
      </c>
      <c r="J154" t="s">
        <v>0</v>
      </c>
      <c r="K154" t="s">
        <v>0</v>
      </c>
      <c r="AB154" t="s">
        <v>24</v>
      </c>
      <c r="AC154">
        <v>70</v>
      </c>
      <c r="AD154">
        <v>0.8</v>
      </c>
      <c r="AE154" s="5">
        <v>0.45345800000000003</v>
      </c>
      <c r="AF154" s="14">
        <v>0</v>
      </c>
      <c r="AG154" s="14">
        <v>5</v>
      </c>
      <c r="AH154" s="14">
        <v>0</v>
      </c>
      <c r="AI154" s="14">
        <v>681</v>
      </c>
      <c r="AJ154" s="5">
        <v>0</v>
      </c>
      <c r="AK154" s="5">
        <v>0</v>
      </c>
      <c r="AL154" s="5">
        <v>0</v>
      </c>
    </row>
    <row r="155" spans="1:38" x14ac:dyDescent="0.25">
      <c r="A155" t="s">
        <v>1</v>
      </c>
      <c r="B155" t="s">
        <v>2</v>
      </c>
      <c r="C155" t="s">
        <v>13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s="5" t="s">
        <v>8</v>
      </c>
      <c r="J155" t="s">
        <v>9</v>
      </c>
      <c r="K155" t="s">
        <v>10</v>
      </c>
      <c r="AB155" t="s">
        <v>24</v>
      </c>
      <c r="AC155">
        <v>70</v>
      </c>
      <c r="AD155">
        <v>0.9</v>
      </c>
      <c r="AE155" s="5">
        <v>0.45345800000000003</v>
      </c>
      <c r="AF155" s="14">
        <v>0</v>
      </c>
      <c r="AG155" s="14">
        <v>5</v>
      </c>
      <c r="AH155" s="14">
        <v>0</v>
      </c>
      <c r="AI155" s="14">
        <v>681</v>
      </c>
      <c r="AJ155" s="5">
        <v>0</v>
      </c>
      <c r="AK155" s="5">
        <v>0</v>
      </c>
      <c r="AL155" s="5">
        <v>0</v>
      </c>
    </row>
    <row r="156" spans="1:38" x14ac:dyDescent="0.25">
      <c r="A156" t="s">
        <v>21</v>
      </c>
      <c r="B156">
        <v>30</v>
      </c>
      <c r="C156">
        <v>0.1</v>
      </c>
      <c r="D156" s="9">
        <f t="shared" ref="D156:K156" si="170">AE192</f>
        <v>0.68344199999999999</v>
      </c>
      <c r="E156" s="9">
        <f t="shared" si="170"/>
        <v>16.2</v>
      </c>
      <c r="F156" s="9">
        <f t="shared" si="170"/>
        <v>0</v>
      </c>
      <c r="G156" s="9">
        <f t="shared" si="170"/>
        <v>5</v>
      </c>
      <c r="H156" s="9">
        <f t="shared" si="170"/>
        <v>664.8</v>
      </c>
      <c r="I156" s="9">
        <f t="shared" si="170"/>
        <v>0.38176599999999999</v>
      </c>
      <c r="J156" s="9">
        <f t="shared" si="170"/>
        <v>0.37438700000000003</v>
      </c>
      <c r="K156" s="9">
        <f t="shared" si="170"/>
        <v>0.97621100000000005</v>
      </c>
      <c r="AB156" t="s">
        <v>24</v>
      </c>
      <c r="AC156">
        <v>80</v>
      </c>
      <c r="AD156">
        <v>0.1</v>
      </c>
      <c r="AE156" s="5">
        <v>0.44164599999999998</v>
      </c>
      <c r="AF156" s="14">
        <v>133</v>
      </c>
      <c r="AG156" s="14">
        <v>0</v>
      </c>
      <c r="AH156" s="14">
        <v>5</v>
      </c>
      <c r="AI156" s="14">
        <v>548</v>
      </c>
      <c r="AJ156" s="5">
        <v>7.0211999999999997E-2</v>
      </c>
      <c r="AK156" s="5">
        <v>5.6946999999999998E-2</v>
      </c>
      <c r="AL156" s="5">
        <v>0.80469900000000005</v>
      </c>
    </row>
    <row r="157" spans="1:38" x14ac:dyDescent="0.25">
      <c r="A157" t="s">
        <v>21</v>
      </c>
      <c r="B157">
        <v>30</v>
      </c>
      <c r="C157">
        <v>0.2</v>
      </c>
      <c r="D157" s="9">
        <f t="shared" ref="D157:K157" si="171">AE193</f>
        <v>0.68344199999999999</v>
      </c>
      <c r="E157" s="9">
        <f t="shared" si="171"/>
        <v>11</v>
      </c>
      <c r="F157" s="9">
        <f t="shared" si="171"/>
        <v>0</v>
      </c>
      <c r="G157" s="9">
        <f t="shared" si="171"/>
        <v>5</v>
      </c>
      <c r="H157" s="9">
        <f t="shared" si="171"/>
        <v>670</v>
      </c>
      <c r="I157" s="9">
        <f t="shared" si="171"/>
        <v>0.47755799999999998</v>
      </c>
      <c r="J157" s="9">
        <f t="shared" si="171"/>
        <v>0.47169</v>
      </c>
      <c r="K157" s="9">
        <f t="shared" si="171"/>
        <v>0.98384700000000003</v>
      </c>
      <c r="AB157" t="s">
        <v>24</v>
      </c>
      <c r="AC157">
        <v>80</v>
      </c>
      <c r="AD157">
        <v>0.2</v>
      </c>
      <c r="AE157" s="5">
        <v>0.44164599999999998</v>
      </c>
      <c r="AF157" s="14">
        <v>57</v>
      </c>
      <c r="AG157" s="14">
        <v>0</v>
      </c>
      <c r="AH157" s="14">
        <v>5</v>
      </c>
      <c r="AI157" s="14">
        <v>624</v>
      </c>
      <c r="AJ157" s="5">
        <v>0.15192600000000001</v>
      </c>
      <c r="AK157" s="5">
        <v>0.140343</v>
      </c>
      <c r="AL157" s="5">
        <v>0.9163</v>
      </c>
    </row>
    <row r="158" spans="1:38" x14ac:dyDescent="0.25">
      <c r="A158" t="s">
        <v>21</v>
      </c>
      <c r="B158">
        <v>30</v>
      </c>
      <c r="C158">
        <v>0.3</v>
      </c>
      <c r="D158" s="9">
        <f t="shared" ref="D158:K158" si="172">AE194</f>
        <v>0.68344199999999999</v>
      </c>
      <c r="E158" s="9">
        <f t="shared" si="172"/>
        <v>6.2</v>
      </c>
      <c r="F158" s="9">
        <f t="shared" si="172"/>
        <v>0.2</v>
      </c>
      <c r="G158" s="9">
        <f t="shared" si="172"/>
        <v>4.8</v>
      </c>
      <c r="H158" s="9">
        <f t="shared" si="172"/>
        <v>674.8</v>
      </c>
      <c r="I158" s="9">
        <f t="shared" si="172"/>
        <v>0.60363199999999995</v>
      </c>
      <c r="J158" s="9">
        <f t="shared" si="172"/>
        <v>0.59963100000000003</v>
      </c>
      <c r="K158" s="9">
        <f t="shared" si="172"/>
        <v>0.95089599999999996</v>
      </c>
      <c r="AB158" t="s">
        <v>24</v>
      </c>
      <c r="AC158">
        <v>80</v>
      </c>
      <c r="AD158">
        <v>0.3</v>
      </c>
      <c r="AE158" s="5">
        <v>0.44164599999999998</v>
      </c>
      <c r="AF158" s="14">
        <v>26.6</v>
      </c>
      <c r="AG158" s="14">
        <v>0</v>
      </c>
      <c r="AH158" s="14">
        <v>5</v>
      </c>
      <c r="AI158" s="14">
        <v>654.4</v>
      </c>
      <c r="AJ158" s="5">
        <v>0.27606799999999998</v>
      </c>
      <c r="AK158" s="5">
        <v>0.26684999999999998</v>
      </c>
      <c r="AL158" s="5">
        <v>0.96094000000000002</v>
      </c>
    </row>
    <row r="159" spans="1:38" x14ac:dyDescent="0.25">
      <c r="A159" t="s">
        <v>21</v>
      </c>
      <c r="B159">
        <v>30</v>
      </c>
      <c r="C159">
        <v>0.4</v>
      </c>
      <c r="D159" s="9">
        <f t="shared" ref="D159:K159" si="173">AE195</f>
        <v>0.68344199999999999</v>
      </c>
      <c r="E159" s="9">
        <f t="shared" si="173"/>
        <v>3.8</v>
      </c>
      <c r="F159" s="9">
        <f t="shared" si="173"/>
        <v>1</v>
      </c>
      <c r="G159" s="9">
        <f t="shared" si="173"/>
        <v>4</v>
      </c>
      <c r="H159" s="9">
        <f t="shared" si="173"/>
        <v>677.2</v>
      </c>
      <c r="I159" s="9">
        <f t="shared" si="173"/>
        <v>0.625641</v>
      </c>
      <c r="J159" s="9">
        <f t="shared" si="173"/>
        <v>0.62228399999999995</v>
      </c>
      <c r="K159" s="9">
        <f t="shared" si="173"/>
        <v>0.79442000000000002</v>
      </c>
      <c r="AB159" t="s">
        <v>24</v>
      </c>
      <c r="AC159">
        <v>80</v>
      </c>
      <c r="AD159">
        <v>0.4</v>
      </c>
      <c r="AE159" s="5">
        <v>0.44164599999999998</v>
      </c>
      <c r="AF159" s="14">
        <v>17.399999999999999</v>
      </c>
      <c r="AG159" s="14">
        <v>0</v>
      </c>
      <c r="AH159" s="14">
        <v>5</v>
      </c>
      <c r="AI159" s="14">
        <v>663.6</v>
      </c>
      <c r="AJ159" s="5">
        <v>0.36571399999999998</v>
      </c>
      <c r="AK159" s="5">
        <v>0.358066</v>
      </c>
      <c r="AL159" s="5">
        <v>0.97444900000000001</v>
      </c>
    </row>
    <row r="160" spans="1:38" x14ac:dyDescent="0.25">
      <c r="A160" s="4" t="s">
        <v>21</v>
      </c>
      <c r="B160" s="4">
        <v>30</v>
      </c>
      <c r="C160" s="4">
        <v>0.5</v>
      </c>
      <c r="D160" s="10">
        <f t="shared" ref="D160:K160" si="174">AE196</f>
        <v>0.68344199999999999</v>
      </c>
      <c r="E160" s="10">
        <f t="shared" si="174"/>
        <v>3.2</v>
      </c>
      <c r="F160" s="10">
        <f t="shared" si="174"/>
        <v>1</v>
      </c>
      <c r="G160" s="10">
        <f t="shared" si="174"/>
        <v>4</v>
      </c>
      <c r="H160" s="10">
        <f t="shared" si="174"/>
        <v>677.8</v>
      </c>
      <c r="I160" s="10">
        <f t="shared" si="174"/>
        <v>0.65827500000000005</v>
      </c>
      <c r="J160" s="10">
        <f t="shared" si="174"/>
        <v>0.65530200000000005</v>
      </c>
      <c r="K160" s="10">
        <f t="shared" si="174"/>
        <v>0.79530100000000004</v>
      </c>
      <c r="AB160" t="s">
        <v>24</v>
      </c>
      <c r="AC160">
        <v>80</v>
      </c>
      <c r="AD160">
        <v>0.5</v>
      </c>
      <c r="AE160" s="5">
        <v>0.44164599999999998</v>
      </c>
      <c r="AF160" s="14">
        <v>13.2</v>
      </c>
      <c r="AG160" s="14">
        <v>0</v>
      </c>
      <c r="AH160" s="14">
        <v>5</v>
      </c>
      <c r="AI160" s="14">
        <v>667.8</v>
      </c>
      <c r="AJ160" s="5">
        <v>0.43148900000000001</v>
      </c>
      <c r="AK160" s="5">
        <v>0.42491299999999999</v>
      </c>
      <c r="AL160" s="5">
        <v>0.98061699999999996</v>
      </c>
    </row>
    <row r="161" spans="1:38" x14ac:dyDescent="0.25">
      <c r="A161" t="s">
        <v>21</v>
      </c>
      <c r="B161">
        <v>30</v>
      </c>
      <c r="C161">
        <v>0.6</v>
      </c>
      <c r="D161" s="9">
        <f t="shared" ref="D161:K161" si="175">AE197</f>
        <v>0.68344199999999999</v>
      </c>
      <c r="E161" s="9">
        <f t="shared" si="175"/>
        <v>2.2000000000000002</v>
      </c>
      <c r="F161" s="9">
        <f t="shared" si="175"/>
        <v>1</v>
      </c>
      <c r="G161" s="9">
        <f t="shared" si="175"/>
        <v>4</v>
      </c>
      <c r="H161" s="9">
        <f t="shared" si="175"/>
        <v>678.8</v>
      </c>
      <c r="I161" s="9">
        <f t="shared" si="175"/>
        <v>0.71757599999999999</v>
      </c>
      <c r="J161" s="9">
        <f t="shared" si="175"/>
        <v>0.71526400000000001</v>
      </c>
      <c r="K161" s="9">
        <f t="shared" si="175"/>
        <v>0.79676899999999995</v>
      </c>
      <c r="AB161" t="s">
        <v>24</v>
      </c>
      <c r="AC161">
        <v>80</v>
      </c>
      <c r="AD161">
        <v>0.6</v>
      </c>
      <c r="AE161" s="5">
        <v>0.44164599999999998</v>
      </c>
      <c r="AF161" s="14">
        <v>5.2</v>
      </c>
      <c r="AG161" s="14">
        <v>1</v>
      </c>
      <c r="AH161" s="14">
        <v>4</v>
      </c>
      <c r="AI161" s="14">
        <v>675.8</v>
      </c>
      <c r="AJ161" s="5">
        <v>0.56381000000000003</v>
      </c>
      <c r="AK161" s="5">
        <v>0.55964999999999998</v>
      </c>
      <c r="AL161" s="5">
        <v>0.79236399999999996</v>
      </c>
    </row>
    <row r="162" spans="1:38" x14ac:dyDescent="0.25">
      <c r="A162" t="s">
        <v>21</v>
      </c>
      <c r="B162">
        <v>30</v>
      </c>
      <c r="C162">
        <v>0.7</v>
      </c>
      <c r="D162" s="9">
        <f t="shared" ref="D162:K162" si="176">AE198</f>
        <v>0.68344199999999999</v>
      </c>
      <c r="E162" s="9">
        <f t="shared" si="176"/>
        <v>1</v>
      </c>
      <c r="F162" s="9">
        <f t="shared" si="176"/>
        <v>2</v>
      </c>
      <c r="G162" s="9">
        <f t="shared" si="176"/>
        <v>3</v>
      </c>
      <c r="H162" s="9">
        <f t="shared" si="176"/>
        <v>680</v>
      </c>
      <c r="I162" s="9">
        <f t="shared" si="176"/>
        <v>0.65333300000000005</v>
      </c>
      <c r="J162" s="9">
        <f t="shared" si="176"/>
        <v>0.65121200000000001</v>
      </c>
      <c r="K162" s="9">
        <f t="shared" si="176"/>
        <v>0.59853199999999995</v>
      </c>
      <c r="AB162" t="s">
        <v>24</v>
      </c>
      <c r="AC162">
        <v>80</v>
      </c>
      <c r="AD162">
        <v>0.7</v>
      </c>
      <c r="AE162" s="5">
        <v>0.44164599999999998</v>
      </c>
      <c r="AF162" s="14">
        <v>0</v>
      </c>
      <c r="AG162" s="14">
        <v>5</v>
      </c>
      <c r="AH162" s="14">
        <v>0</v>
      </c>
      <c r="AI162" s="14">
        <v>681</v>
      </c>
      <c r="AJ162" s="5">
        <v>0</v>
      </c>
      <c r="AK162" s="5">
        <v>0</v>
      </c>
      <c r="AL162" s="5">
        <v>0</v>
      </c>
    </row>
    <row r="163" spans="1:38" x14ac:dyDescent="0.25">
      <c r="A163" t="s">
        <v>21</v>
      </c>
      <c r="B163">
        <v>30</v>
      </c>
      <c r="C163">
        <v>0.8</v>
      </c>
      <c r="D163" s="9">
        <f t="shared" ref="D163:K163" si="177">AE199</f>
        <v>0.68344199999999999</v>
      </c>
      <c r="E163" s="9">
        <f t="shared" si="177"/>
        <v>1</v>
      </c>
      <c r="F163" s="9">
        <f t="shared" si="177"/>
        <v>3.8</v>
      </c>
      <c r="G163" s="9">
        <f t="shared" si="177"/>
        <v>1.2</v>
      </c>
      <c r="H163" s="9">
        <f t="shared" si="177"/>
        <v>680</v>
      </c>
      <c r="I163" s="9">
        <f t="shared" si="177"/>
        <v>0.3</v>
      </c>
      <c r="J163" s="9">
        <f t="shared" si="177"/>
        <v>0.297377</v>
      </c>
      <c r="K163" s="9">
        <f t="shared" si="177"/>
        <v>0.239119</v>
      </c>
      <c r="AB163" t="s">
        <v>24</v>
      </c>
      <c r="AC163">
        <v>80</v>
      </c>
      <c r="AD163">
        <v>0.8</v>
      </c>
      <c r="AE163" s="5">
        <v>0.44164599999999998</v>
      </c>
      <c r="AF163" s="14">
        <v>0</v>
      </c>
      <c r="AG163" s="14">
        <v>5</v>
      </c>
      <c r="AH163" s="14">
        <v>0</v>
      </c>
      <c r="AI163" s="14">
        <v>681</v>
      </c>
      <c r="AJ163" s="5">
        <v>0</v>
      </c>
      <c r="AK163" s="5">
        <v>0</v>
      </c>
      <c r="AL163" s="5">
        <v>0</v>
      </c>
    </row>
    <row r="164" spans="1:38" x14ac:dyDescent="0.25">
      <c r="A164" t="s">
        <v>21</v>
      </c>
      <c r="B164">
        <v>30</v>
      </c>
      <c r="C164">
        <v>0.9</v>
      </c>
      <c r="D164" s="9">
        <f t="shared" ref="D164:K164" si="178">AE200</f>
        <v>0.68344199999999999</v>
      </c>
      <c r="E164" s="9">
        <f t="shared" si="178"/>
        <v>0.4</v>
      </c>
      <c r="F164" s="9">
        <f t="shared" si="178"/>
        <v>5</v>
      </c>
      <c r="G164" s="9">
        <f t="shared" si="178"/>
        <v>0</v>
      </c>
      <c r="H164" s="9">
        <f t="shared" si="178"/>
        <v>680.6</v>
      </c>
      <c r="I164" s="9">
        <f t="shared" si="178"/>
        <v>0</v>
      </c>
      <c r="J164" s="9">
        <f t="shared" si="178"/>
        <v>-9.7400000000000004E-4</v>
      </c>
      <c r="K164" s="9">
        <f t="shared" si="178"/>
        <v>0</v>
      </c>
      <c r="AB164" t="s">
        <v>24</v>
      </c>
      <c r="AC164">
        <v>80</v>
      </c>
      <c r="AD164">
        <v>0.9</v>
      </c>
      <c r="AE164" s="5">
        <v>0.44164599999999998</v>
      </c>
      <c r="AF164" s="14">
        <v>0</v>
      </c>
      <c r="AG164" s="14">
        <v>5</v>
      </c>
      <c r="AH164" s="14">
        <v>0</v>
      </c>
      <c r="AI164" s="14">
        <v>681</v>
      </c>
      <c r="AJ164" s="5">
        <v>0</v>
      </c>
      <c r="AK164" s="5">
        <v>0</v>
      </c>
      <c r="AL164" s="5">
        <v>0</v>
      </c>
    </row>
    <row r="165" spans="1:38" x14ac:dyDescent="0.25">
      <c r="AB165" t="s">
        <v>24</v>
      </c>
      <c r="AC165">
        <v>90</v>
      </c>
      <c r="AD165">
        <v>0.1</v>
      </c>
      <c r="AE165" s="5">
        <v>0.42677799999999999</v>
      </c>
      <c r="AF165" s="14">
        <v>335.4</v>
      </c>
      <c r="AG165" s="14">
        <v>0</v>
      </c>
      <c r="AH165" s="14">
        <v>5</v>
      </c>
      <c r="AI165" s="14">
        <v>345.6</v>
      </c>
      <c r="AJ165" s="5">
        <v>2.9253000000000001E-2</v>
      </c>
      <c r="AK165" s="5">
        <v>1.5106E-2</v>
      </c>
      <c r="AL165" s="5">
        <v>0.50748899999999997</v>
      </c>
    </row>
    <row r="166" spans="1:38" x14ac:dyDescent="0.25">
      <c r="AB166" t="s">
        <v>24</v>
      </c>
      <c r="AC166">
        <v>90</v>
      </c>
      <c r="AD166">
        <v>0.2</v>
      </c>
      <c r="AE166" s="5">
        <v>0.42677799999999999</v>
      </c>
      <c r="AF166" s="14">
        <v>72.8</v>
      </c>
      <c r="AG166" s="14">
        <v>0</v>
      </c>
      <c r="AH166" s="14">
        <v>5</v>
      </c>
      <c r="AI166" s="14">
        <v>608.20000000000005</v>
      </c>
      <c r="AJ166" s="5">
        <v>0.12139800000000001</v>
      </c>
      <c r="AK166" s="5">
        <v>0.10920000000000001</v>
      </c>
      <c r="AL166" s="5">
        <v>0.89309799999999995</v>
      </c>
    </row>
    <row r="167" spans="1:38" x14ac:dyDescent="0.25"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s="5" t="s">
        <v>0</v>
      </c>
      <c r="J167" t="s">
        <v>0</v>
      </c>
      <c r="K167" t="s">
        <v>0</v>
      </c>
      <c r="AB167" t="s">
        <v>24</v>
      </c>
      <c r="AC167">
        <v>90</v>
      </c>
      <c r="AD167">
        <v>0.3</v>
      </c>
      <c r="AE167" s="5">
        <v>0.42677799999999999</v>
      </c>
      <c r="AF167" s="14">
        <v>34.4</v>
      </c>
      <c r="AG167" s="14">
        <v>0</v>
      </c>
      <c r="AH167" s="14">
        <v>5</v>
      </c>
      <c r="AI167" s="14">
        <v>646.6</v>
      </c>
      <c r="AJ167" s="5">
        <v>0.23241999999999999</v>
      </c>
      <c r="AK167" s="5">
        <v>0.222386</v>
      </c>
      <c r="AL167" s="5">
        <v>0.94948600000000005</v>
      </c>
    </row>
    <row r="168" spans="1:38" x14ac:dyDescent="0.25">
      <c r="A168" t="s">
        <v>1</v>
      </c>
      <c r="B168" t="s">
        <v>2</v>
      </c>
      <c r="C168" t="s">
        <v>13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s="5" t="s">
        <v>8</v>
      </c>
      <c r="J168" t="s">
        <v>9</v>
      </c>
      <c r="K168" t="s">
        <v>10</v>
      </c>
      <c r="AB168" t="s">
        <v>24</v>
      </c>
      <c r="AC168">
        <v>90</v>
      </c>
      <c r="AD168">
        <v>0.4</v>
      </c>
      <c r="AE168" s="5">
        <v>0.42677799999999999</v>
      </c>
      <c r="AF168" s="14">
        <v>19</v>
      </c>
      <c r="AG168" s="14">
        <v>0</v>
      </c>
      <c r="AH168" s="14">
        <v>5</v>
      </c>
      <c r="AI168" s="14">
        <v>662</v>
      </c>
      <c r="AJ168" s="5">
        <v>0.346667</v>
      </c>
      <c r="AK168" s="5">
        <v>0.33869199999999999</v>
      </c>
      <c r="AL168" s="5">
        <v>0.97209999999999996</v>
      </c>
    </row>
    <row r="169" spans="1:38" x14ac:dyDescent="0.25">
      <c r="A169" t="s">
        <v>21</v>
      </c>
      <c r="B169">
        <v>40</v>
      </c>
      <c r="C169">
        <v>0.1</v>
      </c>
      <c r="D169" s="9">
        <f t="shared" ref="D169:K169" si="179">AE201</f>
        <v>0.68569899999999995</v>
      </c>
      <c r="E169" s="9">
        <f t="shared" si="179"/>
        <v>18.399999999999999</v>
      </c>
      <c r="F169" s="9">
        <f t="shared" si="179"/>
        <v>0</v>
      </c>
      <c r="G169" s="9">
        <f t="shared" si="179"/>
        <v>5</v>
      </c>
      <c r="H169" s="9">
        <f t="shared" si="179"/>
        <v>662.6</v>
      </c>
      <c r="I169" s="9">
        <f t="shared" si="179"/>
        <v>0.352217</v>
      </c>
      <c r="J169" s="9">
        <f t="shared" si="179"/>
        <v>0.34434199999999998</v>
      </c>
      <c r="K169" s="9">
        <f t="shared" si="179"/>
        <v>0.97298099999999998</v>
      </c>
      <c r="AB169" t="s">
        <v>24</v>
      </c>
      <c r="AC169">
        <v>90</v>
      </c>
      <c r="AD169">
        <v>0.5</v>
      </c>
      <c r="AE169" s="5">
        <v>0.42677799999999999</v>
      </c>
      <c r="AF169" s="14">
        <v>13.6</v>
      </c>
      <c r="AG169" s="14">
        <v>0</v>
      </c>
      <c r="AH169" s="14">
        <v>5</v>
      </c>
      <c r="AI169" s="14">
        <v>667.4</v>
      </c>
      <c r="AJ169" s="5">
        <v>0.42424200000000001</v>
      </c>
      <c r="AK169" s="5">
        <v>0.41755100000000001</v>
      </c>
      <c r="AL169" s="5">
        <v>0.98002900000000004</v>
      </c>
    </row>
    <row r="170" spans="1:38" x14ac:dyDescent="0.25">
      <c r="A170" t="s">
        <v>21</v>
      </c>
      <c r="B170">
        <v>40</v>
      </c>
      <c r="C170">
        <v>0.2</v>
      </c>
      <c r="D170" s="9">
        <f t="shared" ref="D170:K170" si="180">AE202</f>
        <v>0.68569899999999995</v>
      </c>
      <c r="E170" s="9">
        <f t="shared" si="180"/>
        <v>13</v>
      </c>
      <c r="F170" s="9">
        <f t="shared" si="180"/>
        <v>0</v>
      </c>
      <c r="G170" s="9">
        <f t="shared" si="180"/>
        <v>5</v>
      </c>
      <c r="H170" s="9">
        <f t="shared" si="180"/>
        <v>668</v>
      </c>
      <c r="I170" s="9">
        <f t="shared" si="180"/>
        <v>0.43544100000000002</v>
      </c>
      <c r="J170" s="9">
        <f t="shared" si="180"/>
        <v>0.428927</v>
      </c>
      <c r="K170" s="9">
        <f t="shared" si="180"/>
        <v>0.98090999999999995</v>
      </c>
      <c r="AB170" t="s">
        <v>24</v>
      </c>
      <c r="AC170">
        <v>90</v>
      </c>
      <c r="AD170">
        <v>0.6</v>
      </c>
      <c r="AE170" s="5">
        <v>0.42677799999999999</v>
      </c>
      <c r="AF170" s="14">
        <v>5.2</v>
      </c>
      <c r="AG170" s="14">
        <v>1</v>
      </c>
      <c r="AH170" s="14">
        <v>4</v>
      </c>
      <c r="AI170" s="14">
        <v>675.8</v>
      </c>
      <c r="AJ170" s="5">
        <v>0.56381000000000003</v>
      </c>
      <c r="AK170" s="5">
        <v>0.55964999999999998</v>
      </c>
      <c r="AL170" s="5">
        <v>0.79236399999999996</v>
      </c>
    </row>
    <row r="171" spans="1:38" x14ac:dyDescent="0.25">
      <c r="A171" t="s">
        <v>21</v>
      </c>
      <c r="B171">
        <v>40</v>
      </c>
      <c r="C171">
        <v>0.3</v>
      </c>
      <c r="D171" s="9">
        <f t="shared" ref="D171:K171" si="181">AE203</f>
        <v>0.68569899999999995</v>
      </c>
      <c r="E171" s="9">
        <f t="shared" si="181"/>
        <v>7</v>
      </c>
      <c r="F171" s="9">
        <f t="shared" si="181"/>
        <v>0</v>
      </c>
      <c r="G171" s="9">
        <f t="shared" si="181"/>
        <v>5</v>
      </c>
      <c r="H171" s="9">
        <f t="shared" si="181"/>
        <v>674</v>
      </c>
      <c r="I171" s="9">
        <f t="shared" si="181"/>
        <v>0.59166700000000005</v>
      </c>
      <c r="J171" s="9">
        <f t="shared" si="181"/>
        <v>0.58741600000000005</v>
      </c>
      <c r="K171" s="9">
        <f t="shared" si="181"/>
        <v>0.98972099999999996</v>
      </c>
      <c r="AB171" t="s">
        <v>24</v>
      </c>
      <c r="AC171">
        <v>90</v>
      </c>
      <c r="AD171">
        <v>0.7</v>
      </c>
      <c r="AE171" s="5">
        <v>0.42677799999999999</v>
      </c>
      <c r="AF171" s="14">
        <v>0</v>
      </c>
      <c r="AG171" s="14">
        <v>5</v>
      </c>
      <c r="AH171" s="14">
        <v>0</v>
      </c>
      <c r="AI171" s="14">
        <v>681</v>
      </c>
      <c r="AJ171" s="5">
        <v>0</v>
      </c>
      <c r="AK171" s="5">
        <v>0</v>
      </c>
      <c r="AL171" s="5">
        <v>0</v>
      </c>
    </row>
    <row r="172" spans="1:38" x14ac:dyDescent="0.25">
      <c r="A172" t="s">
        <v>21</v>
      </c>
      <c r="B172">
        <v>40</v>
      </c>
      <c r="C172">
        <v>0.4</v>
      </c>
      <c r="D172" s="9">
        <f t="shared" ref="D172:K172" si="182">AE204</f>
        <v>0.68569899999999995</v>
      </c>
      <c r="E172" s="9">
        <f t="shared" si="182"/>
        <v>4</v>
      </c>
      <c r="F172" s="9">
        <f t="shared" si="182"/>
        <v>1</v>
      </c>
      <c r="G172" s="9">
        <f t="shared" si="182"/>
        <v>4</v>
      </c>
      <c r="H172" s="9">
        <f t="shared" si="182"/>
        <v>677</v>
      </c>
      <c r="I172" s="9">
        <f t="shared" si="182"/>
        <v>0.61538499999999996</v>
      </c>
      <c r="J172" s="9">
        <f t="shared" si="182"/>
        <v>0.61190299999999997</v>
      </c>
      <c r="K172" s="9">
        <f t="shared" si="182"/>
        <v>0.794126</v>
      </c>
      <c r="AB172" t="s">
        <v>24</v>
      </c>
      <c r="AC172">
        <v>90</v>
      </c>
      <c r="AD172">
        <v>0.8</v>
      </c>
      <c r="AE172" s="5">
        <v>0.42677799999999999</v>
      </c>
      <c r="AF172" s="14">
        <v>0</v>
      </c>
      <c r="AG172" s="14">
        <v>5</v>
      </c>
      <c r="AH172" s="14">
        <v>0</v>
      </c>
      <c r="AI172" s="14">
        <v>681</v>
      </c>
      <c r="AJ172" s="5">
        <v>0</v>
      </c>
      <c r="AK172" s="5">
        <v>0</v>
      </c>
      <c r="AL172" s="5">
        <v>0</v>
      </c>
    </row>
    <row r="173" spans="1:38" x14ac:dyDescent="0.25">
      <c r="A173" s="4" t="s">
        <v>21</v>
      </c>
      <c r="B173" s="4">
        <v>40</v>
      </c>
      <c r="C173" s="4">
        <v>0.5</v>
      </c>
      <c r="D173" s="10">
        <f t="shared" ref="D173:K173" si="183">AE205</f>
        <v>0.68569899999999995</v>
      </c>
      <c r="E173" s="10">
        <f t="shared" si="183"/>
        <v>3</v>
      </c>
      <c r="F173" s="10">
        <f t="shared" si="183"/>
        <v>1</v>
      </c>
      <c r="G173" s="10">
        <f t="shared" si="183"/>
        <v>4</v>
      </c>
      <c r="H173" s="10">
        <f t="shared" si="183"/>
        <v>678</v>
      </c>
      <c r="I173" s="10">
        <f t="shared" si="183"/>
        <v>0.66853099999999999</v>
      </c>
      <c r="J173" s="10">
        <f t="shared" si="183"/>
        <v>0.66568300000000002</v>
      </c>
      <c r="K173" s="10">
        <f t="shared" si="183"/>
        <v>0.79559500000000005</v>
      </c>
      <c r="AB173" t="s">
        <v>24</v>
      </c>
      <c r="AC173">
        <v>90</v>
      </c>
      <c r="AD173">
        <v>0.9</v>
      </c>
      <c r="AE173" s="5">
        <v>0.42677799999999999</v>
      </c>
      <c r="AF173" s="14">
        <v>0</v>
      </c>
      <c r="AG173" s="14">
        <v>5</v>
      </c>
      <c r="AH173" s="14">
        <v>0</v>
      </c>
      <c r="AI173" s="14">
        <v>681</v>
      </c>
      <c r="AJ173" s="5">
        <v>0</v>
      </c>
      <c r="AK173" s="5">
        <v>0</v>
      </c>
      <c r="AL173" s="5">
        <v>0</v>
      </c>
    </row>
    <row r="174" spans="1:38" x14ac:dyDescent="0.25">
      <c r="A174" t="s">
        <v>21</v>
      </c>
      <c r="B174">
        <v>40</v>
      </c>
      <c r="C174">
        <v>0.6</v>
      </c>
      <c r="D174" s="9">
        <f t="shared" ref="D174:K174" si="184">AE206</f>
        <v>0.68569899999999995</v>
      </c>
      <c r="E174" s="9">
        <f t="shared" si="184"/>
        <v>1.6</v>
      </c>
      <c r="F174" s="9">
        <f t="shared" si="184"/>
        <v>1</v>
      </c>
      <c r="G174" s="9">
        <f t="shared" si="184"/>
        <v>4</v>
      </c>
      <c r="H174" s="9">
        <f t="shared" si="184"/>
        <v>679.4</v>
      </c>
      <c r="I174" s="9">
        <f t="shared" si="184"/>
        <v>0.75636400000000004</v>
      </c>
      <c r="J174" s="9">
        <f t="shared" si="184"/>
        <v>0.75446500000000005</v>
      </c>
      <c r="K174" s="9">
        <f t="shared" si="184"/>
        <v>0.797651</v>
      </c>
      <c r="AB174" t="s">
        <v>25</v>
      </c>
      <c r="AC174">
        <v>10</v>
      </c>
      <c r="AD174">
        <v>0.1</v>
      </c>
      <c r="AE174" s="5">
        <v>0.66493100000000005</v>
      </c>
      <c r="AF174" s="14">
        <v>1.4</v>
      </c>
      <c r="AG174" s="14">
        <v>2.4</v>
      </c>
      <c r="AH174" s="14">
        <v>2.6</v>
      </c>
      <c r="AI174" s="14">
        <v>679.6</v>
      </c>
      <c r="AJ174" s="5">
        <v>0.49593100000000001</v>
      </c>
      <c r="AK174" s="5">
        <v>0.494031</v>
      </c>
      <c r="AL174" s="5">
        <v>0.51794399999999996</v>
      </c>
    </row>
    <row r="175" spans="1:38" x14ac:dyDescent="0.25">
      <c r="A175" t="s">
        <v>21</v>
      </c>
      <c r="B175">
        <v>40</v>
      </c>
      <c r="C175">
        <v>0.7</v>
      </c>
      <c r="D175" s="9">
        <f t="shared" ref="D175:K175" si="185">AE207</f>
        <v>0.68569899999999995</v>
      </c>
      <c r="E175" s="9">
        <f t="shared" si="185"/>
        <v>1</v>
      </c>
      <c r="F175" s="9">
        <f t="shared" si="185"/>
        <v>1.8</v>
      </c>
      <c r="G175" s="9">
        <f t="shared" si="185"/>
        <v>3.2</v>
      </c>
      <c r="H175" s="9">
        <f t="shared" si="185"/>
        <v>680</v>
      </c>
      <c r="I175" s="9">
        <f t="shared" si="185"/>
        <v>0.68</v>
      </c>
      <c r="J175" s="9">
        <f t="shared" si="185"/>
        <v>0.67801999999999996</v>
      </c>
      <c r="K175" s="9">
        <f t="shared" si="185"/>
        <v>0.63853199999999999</v>
      </c>
      <c r="AB175" t="s">
        <v>25</v>
      </c>
      <c r="AC175">
        <v>10</v>
      </c>
      <c r="AD175">
        <v>0.2</v>
      </c>
      <c r="AE175" s="5">
        <v>0.66493100000000005</v>
      </c>
      <c r="AF175" s="14">
        <v>0.6</v>
      </c>
      <c r="AG175" s="14">
        <v>4.5999999999999996</v>
      </c>
      <c r="AH175" s="14">
        <v>0.4</v>
      </c>
      <c r="AI175" s="14">
        <v>680.4</v>
      </c>
      <c r="AJ175" s="5">
        <v>0.1</v>
      </c>
      <c r="AK175" s="5">
        <v>9.8475999999999994E-2</v>
      </c>
      <c r="AL175" s="5">
        <v>7.9705999999999999E-2</v>
      </c>
    </row>
    <row r="176" spans="1:38" x14ac:dyDescent="0.25">
      <c r="A176" t="s">
        <v>21</v>
      </c>
      <c r="B176">
        <v>40</v>
      </c>
      <c r="C176">
        <v>0.8</v>
      </c>
      <c r="D176" s="9">
        <f t="shared" ref="D176:K176" si="186">AE208</f>
        <v>0.68569899999999995</v>
      </c>
      <c r="E176" s="9">
        <f t="shared" si="186"/>
        <v>1</v>
      </c>
      <c r="F176" s="9">
        <f t="shared" si="186"/>
        <v>3.8</v>
      </c>
      <c r="G176" s="9">
        <f t="shared" si="186"/>
        <v>1.2</v>
      </c>
      <c r="H176" s="9">
        <f t="shared" si="186"/>
        <v>680</v>
      </c>
      <c r="I176" s="9">
        <f t="shared" si="186"/>
        <v>0.3</v>
      </c>
      <c r="J176" s="9">
        <f t="shared" si="186"/>
        <v>0.297377</v>
      </c>
      <c r="K176" s="9">
        <f t="shared" si="186"/>
        <v>0.239119</v>
      </c>
      <c r="AB176" t="s">
        <v>25</v>
      </c>
      <c r="AC176">
        <v>10</v>
      </c>
      <c r="AD176">
        <v>0.3</v>
      </c>
      <c r="AE176" s="5">
        <v>0.66493100000000005</v>
      </c>
      <c r="AF176" s="14">
        <v>0</v>
      </c>
      <c r="AG176" s="14">
        <v>5</v>
      </c>
      <c r="AH176" s="14">
        <v>0</v>
      </c>
      <c r="AI176" s="14">
        <v>681</v>
      </c>
      <c r="AJ176" s="5">
        <v>0</v>
      </c>
      <c r="AK176" s="5">
        <v>0</v>
      </c>
      <c r="AL176" s="5">
        <v>0</v>
      </c>
    </row>
    <row r="177" spans="1:38" x14ac:dyDescent="0.25">
      <c r="A177" t="s">
        <v>21</v>
      </c>
      <c r="B177">
        <v>40</v>
      </c>
      <c r="C177">
        <v>0.9</v>
      </c>
      <c r="D177" s="9">
        <f t="shared" ref="D177:K177" si="187">AE209</f>
        <v>0.68569899999999995</v>
      </c>
      <c r="E177" s="9">
        <f t="shared" si="187"/>
        <v>0.4</v>
      </c>
      <c r="F177" s="9">
        <f t="shared" si="187"/>
        <v>5</v>
      </c>
      <c r="G177" s="9">
        <f t="shared" si="187"/>
        <v>0</v>
      </c>
      <c r="H177" s="9">
        <f t="shared" si="187"/>
        <v>680.6</v>
      </c>
      <c r="I177" s="9">
        <f t="shared" si="187"/>
        <v>0</v>
      </c>
      <c r="J177" s="9">
        <f t="shared" si="187"/>
        <v>-9.7400000000000004E-4</v>
      </c>
      <c r="K177" s="9">
        <f t="shared" si="187"/>
        <v>0</v>
      </c>
      <c r="AB177" t="s">
        <v>25</v>
      </c>
      <c r="AC177">
        <v>10</v>
      </c>
      <c r="AD177">
        <v>0.4</v>
      </c>
      <c r="AE177" s="5">
        <v>0.66493100000000005</v>
      </c>
      <c r="AF177" s="14">
        <v>0</v>
      </c>
      <c r="AG177" s="14">
        <v>5</v>
      </c>
      <c r="AH177" s="14">
        <v>0</v>
      </c>
      <c r="AI177" s="14">
        <v>681</v>
      </c>
      <c r="AJ177" s="5">
        <v>0</v>
      </c>
      <c r="AK177" s="5">
        <v>0</v>
      </c>
      <c r="AL177" s="5">
        <v>0</v>
      </c>
    </row>
    <row r="178" spans="1:38" x14ac:dyDescent="0.25">
      <c r="AB178" t="s">
        <v>25</v>
      </c>
      <c r="AC178">
        <v>10</v>
      </c>
      <c r="AD178">
        <v>0.5</v>
      </c>
      <c r="AE178" s="5">
        <v>0.66493100000000005</v>
      </c>
      <c r="AF178" s="14">
        <v>0</v>
      </c>
      <c r="AG178" s="14">
        <v>5</v>
      </c>
      <c r="AH178" s="14">
        <v>0</v>
      </c>
      <c r="AI178" s="14">
        <v>681</v>
      </c>
      <c r="AJ178" s="5">
        <v>0</v>
      </c>
      <c r="AK178" s="5">
        <v>0</v>
      </c>
      <c r="AL178" s="5">
        <v>0</v>
      </c>
    </row>
    <row r="179" spans="1:38" x14ac:dyDescent="0.25">
      <c r="AB179" t="s">
        <v>25</v>
      </c>
      <c r="AC179">
        <v>10</v>
      </c>
      <c r="AD179">
        <v>0.6</v>
      </c>
      <c r="AE179" s="5">
        <v>0.66493100000000005</v>
      </c>
      <c r="AF179" s="14">
        <v>0</v>
      </c>
      <c r="AG179" s="14">
        <v>5</v>
      </c>
      <c r="AH179" s="14">
        <v>0</v>
      </c>
      <c r="AI179" s="14">
        <v>681</v>
      </c>
      <c r="AJ179" s="5">
        <v>0</v>
      </c>
      <c r="AK179" s="5">
        <v>0</v>
      </c>
      <c r="AL179" s="5">
        <v>0</v>
      </c>
    </row>
    <row r="180" spans="1:38" x14ac:dyDescent="0.25"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s="5" t="s">
        <v>0</v>
      </c>
      <c r="J180" t="s">
        <v>0</v>
      </c>
      <c r="K180" t="s">
        <v>0</v>
      </c>
      <c r="AB180" t="s">
        <v>25</v>
      </c>
      <c r="AC180">
        <v>10</v>
      </c>
      <c r="AD180">
        <v>0.7</v>
      </c>
      <c r="AE180" s="5">
        <v>0.66493100000000005</v>
      </c>
      <c r="AF180" s="14">
        <v>0</v>
      </c>
      <c r="AG180" s="14">
        <v>5</v>
      </c>
      <c r="AH180" s="14">
        <v>0</v>
      </c>
      <c r="AI180" s="14">
        <v>681</v>
      </c>
      <c r="AJ180" s="5">
        <v>0</v>
      </c>
      <c r="AK180" s="5">
        <v>0</v>
      </c>
      <c r="AL180" s="5">
        <v>0</v>
      </c>
    </row>
    <row r="181" spans="1:38" x14ac:dyDescent="0.25">
      <c r="A181" t="s">
        <v>1</v>
      </c>
      <c r="B181" t="s">
        <v>2</v>
      </c>
      <c r="C181" t="s">
        <v>13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s="5" t="s">
        <v>8</v>
      </c>
      <c r="J181" t="s">
        <v>9</v>
      </c>
      <c r="K181" t="s">
        <v>10</v>
      </c>
      <c r="AB181" t="s">
        <v>25</v>
      </c>
      <c r="AC181">
        <v>10</v>
      </c>
      <c r="AD181">
        <v>0.8</v>
      </c>
      <c r="AE181" s="5">
        <v>0.66493100000000005</v>
      </c>
      <c r="AF181" s="14">
        <v>0</v>
      </c>
      <c r="AG181" s="14">
        <v>5</v>
      </c>
      <c r="AH181" s="14">
        <v>0</v>
      </c>
      <c r="AI181" s="14">
        <v>681</v>
      </c>
      <c r="AJ181" s="5">
        <v>0</v>
      </c>
      <c r="AK181" s="5">
        <v>0</v>
      </c>
      <c r="AL181" s="5">
        <v>0</v>
      </c>
    </row>
    <row r="182" spans="1:38" x14ac:dyDescent="0.25">
      <c r="A182" t="s">
        <v>21</v>
      </c>
      <c r="B182">
        <v>50</v>
      </c>
      <c r="C182">
        <v>0.1</v>
      </c>
      <c r="D182" s="9">
        <f t="shared" ref="D182:K182" si="188">AE210</f>
        <v>0.68524300000000005</v>
      </c>
      <c r="E182" s="9">
        <f t="shared" si="188"/>
        <v>21.8</v>
      </c>
      <c r="F182" s="9">
        <f t="shared" si="188"/>
        <v>0</v>
      </c>
      <c r="G182" s="9">
        <f t="shared" si="188"/>
        <v>5</v>
      </c>
      <c r="H182" s="9">
        <f t="shared" si="188"/>
        <v>659.2</v>
      </c>
      <c r="I182" s="9">
        <f t="shared" si="188"/>
        <v>0.31487199999999999</v>
      </c>
      <c r="J182" s="9">
        <f t="shared" si="188"/>
        <v>0.30635099999999998</v>
      </c>
      <c r="K182" s="9">
        <f t="shared" si="188"/>
        <v>0.96798799999999996</v>
      </c>
      <c r="AB182" t="s">
        <v>25</v>
      </c>
      <c r="AC182">
        <v>10</v>
      </c>
      <c r="AD182">
        <v>0.9</v>
      </c>
      <c r="AE182" s="5">
        <v>0.66493100000000005</v>
      </c>
      <c r="AF182" s="14">
        <v>0</v>
      </c>
      <c r="AG182" s="14">
        <v>5</v>
      </c>
      <c r="AH182" s="14">
        <v>0</v>
      </c>
      <c r="AI182" s="14">
        <v>681</v>
      </c>
      <c r="AJ182" s="5">
        <v>0</v>
      </c>
      <c r="AK182" s="5">
        <v>0</v>
      </c>
      <c r="AL182" s="5">
        <v>0</v>
      </c>
    </row>
    <row r="183" spans="1:38" x14ac:dyDescent="0.25">
      <c r="A183" t="s">
        <v>21</v>
      </c>
      <c r="B183">
        <v>50</v>
      </c>
      <c r="C183">
        <v>0.2</v>
      </c>
      <c r="D183" s="9">
        <f t="shared" ref="D183:K183" si="189">AE211</f>
        <v>0.68524300000000005</v>
      </c>
      <c r="E183" s="9">
        <f t="shared" si="189"/>
        <v>14</v>
      </c>
      <c r="F183" s="9">
        <f t="shared" si="189"/>
        <v>0</v>
      </c>
      <c r="G183" s="9">
        <f t="shared" si="189"/>
        <v>5</v>
      </c>
      <c r="H183" s="9">
        <f t="shared" si="189"/>
        <v>667</v>
      </c>
      <c r="I183" s="9">
        <f t="shared" si="189"/>
        <v>0.41666700000000001</v>
      </c>
      <c r="J183" s="9">
        <f t="shared" si="189"/>
        <v>0.409856</v>
      </c>
      <c r="K183" s="9">
        <f t="shared" si="189"/>
        <v>0.97944200000000003</v>
      </c>
      <c r="AB183" t="s">
        <v>25</v>
      </c>
      <c r="AC183">
        <v>20</v>
      </c>
      <c r="AD183">
        <v>0.1</v>
      </c>
      <c r="AE183" s="5">
        <v>0.67806699999999998</v>
      </c>
      <c r="AF183" s="14">
        <v>14.6</v>
      </c>
      <c r="AG183" s="14">
        <v>0</v>
      </c>
      <c r="AH183" s="14">
        <v>5</v>
      </c>
      <c r="AI183" s="14">
        <v>666.4</v>
      </c>
      <c r="AJ183" s="5">
        <v>0.406667</v>
      </c>
      <c r="AK183" s="5">
        <v>0.39969500000000002</v>
      </c>
      <c r="AL183" s="5">
        <v>0.97856100000000001</v>
      </c>
    </row>
    <row r="184" spans="1:38" x14ac:dyDescent="0.25">
      <c r="A184" t="s">
        <v>21</v>
      </c>
      <c r="B184">
        <v>50</v>
      </c>
      <c r="C184">
        <v>0.3</v>
      </c>
      <c r="D184" s="9">
        <f t="shared" ref="D184:K184" si="190">AE212</f>
        <v>0.68524300000000005</v>
      </c>
      <c r="E184" s="9">
        <f t="shared" si="190"/>
        <v>8</v>
      </c>
      <c r="F184" s="9">
        <f t="shared" si="190"/>
        <v>0</v>
      </c>
      <c r="G184" s="9">
        <f t="shared" si="190"/>
        <v>5</v>
      </c>
      <c r="H184" s="9">
        <f t="shared" si="190"/>
        <v>673</v>
      </c>
      <c r="I184" s="9">
        <f t="shared" si="190"/>
        <v>0.55555600000000005</v>
      </c>
      <c r="J184" s="9">
        <f t="shared" si="190"/>
        <v>0.55082699999999996</v>
      </c>
      <c r="K184" s="9">
        <f t="shared" si="190"/>
        <v>0.98825300000000005</v>
      </c>
      <c r="AB184" t="s">
        <v>25</v>
      </c>
      <c r="AC184">
        <v>20</v>
      </c>
      <c r="AD184">
        <v>0.2</v>
      </c>
      <c r="AE184" s="5">
        <v>0.67806699999999998</v>
      </c>
      <c r="AF184" s="14">
        <v>5.4</v>
      </c>
      <c r="AG184" s="14">
        <v>0.4</v>
      </c>
      <c r="AH184" s="14">
        <v>4.5999999999999996</v>
      </c>
      <c r="AI184" s="14">
        <v>675.6</v>
      </c>
      <c r="AJ184" s="5">
        <v>0.62229000000000001</v>
      </c>
      <c r="AK184" s="5">
        <v>0.61859500000000001</v>
      </c>
      <c r="AL184" s="5">
        <v>0.91207000000000005</v>
      </c>
    </row>
    <row r="185" spans="1:38" x14ac:dyDescent="0.25">
      <c r="A185" t="s">
        <v>21</v>
      </c>
      <c r="B185">
        <v>50</v>
      </c>
      <c r="C185">
        <v>0.4</v>
      </c>
      <c r="D185" s="9">
        <f t="shared" ref="D185:K185" si="191">AE213</f>
        <v>0.68524300000000005</v>
      </c>
      <c r="E185" s="9">
        <f t="shared" si="191"/>
        <v>4</v>
      </c>
      <c r="F185" s="9">
        <f t="shared" si="191"/>
        <v>1</v>
      </c>
      <c r="G185" s="9">
        <f t="shared" si="191"/>
        <v>4</v>
      </c>
      <c r="H185" s="9">
        <f t="shared" si="191"/>
        <v>677</v>
      </c>
      <c r="I185" s="9">
        <f t="shared" si="191"/>
        <v>0.61538499999999996</v>
      </c>
      <c r="J185" s="9">
        <f t="shared" si="191"/>
        <v>0.61190299999999997</v>
      </c>
      <c r="K185" s="9">
        <f t="shared" si="191"/>
        <v>0.794126</v>
      </c>
      <c r="AB185" t="s">
        <v>25</v>
      </c>
      <c r="AC185">
        <v>20</v>
      </c>
      <c r="AD185">
        <v>0.3</v>
      </c>
      <c r="AE185" s="5">
        <v>0.67806699999999998</v>
      </c>
      <c r="AF185" s="14">
        <v>3</v>
      </c>
      <c r="AG185" s="14">
        <v>1.4</v>
      </c>
      <c r="AH185" s="14">
        <v>3.6</v>
      </c>
      <c r="AI185" s="14">
        <v>678</v>
      </c>
      <c r="AJ185" s="5">
        <v>0.61468500000000004</v>
      </c>
      <c r="AK185" s="5">
        <v>0.61160999999999999</v>
      </c>
      <c r="AL185" s="5">
        <v>0.71559499999999998</v>
      </c>
    </row>
    <row r="186" spans="1:38" x14ac:dyDescent="0.25">
      <c r="A186" s="4" t="s">
        <v>21</v>
      </c>
      <c r="B186" s="4">
        <v>50</v>
      </c>
      <c r="C186" s="4">
        <v>0.5</v>
      </c>
      <c r="D186" s="10">
        <f t="shared" ref="D186:K186" si="192">AE214</f>
        <v>0.68524300000000005</v>
      </c>
      <c r="E186" s="10">
        <f t="shared" si="192"/>
        <v>2.8</v>
      </c>
      <c r="F186" s="10">
        <f t="shared" si="192"/>
        <v>1</v>
      </c>
      <c r="G186" s="10">
        <f t="shared" si="192"/>
        <v>4</v>
      </c>
      <c r="H186" s="10">
        <f t="shared" si="192"/>
        <v>678.2</v>
      </c>
      <c r="I186" s="10">
        <f t="shared" si="192"/>
        <v>0.67878799999999995</v>
      </c>
      <c r="J186" s="10">
        <f t="shared" si="192"/>
        <v>0.676064</v>
      </c>
      <c r="K186" s="10">
        <f t="shared" si="192"/>
        <v>0.79588800000000004</v>
      </c>
      <c r="AB186" t="s">
        <v>25</v>
      </c>
      <c r="AC186">
        <v>20</v>
      </c>
      <c r="AD186">
        <v>0.4</v>
      </c>
      <c r="AE186" s="5">
        <v>0.67806699999999998</v>
      </c>
      <c r="AF186" s="14">
        <v>2</v>
      </c>
      <c r="AG186" s="14">
        <v>2.2000000000000002</v>
      </c>
      <c r="AH186" s="14">
        <v>2.8</v>
      </c>
      <c r="AI186" s="14">
        <v>679</v>
      </c>
      <c r="AJ186" s="5">
        <v>0.51212100000000005</v>
      </c>
      <c r="AK186" s="5">
        <v>0.50950399999999996</v>
      </c>
      <c r="AL186" s="5">
        <v>0.55735699999999999</v>
      </c>
    </row>
    <row r="187" spans="1:38" x14ac:dyDescent="0.25">
      <c r="A187" t="s">
        <v>21</v>
      </c>
      <c r="B187">
        <v>50</v>
      </c>
      <c r="C187">
        <v>0.6</v>
      </c>
      <c r="D187" s="9">
        <f t="shared" ref="D187:K187" si="193">AE215</f>
        <v>0.68524300000000005</v>
      </c>
      <c r="E187" s="9">
        <f t="shared" si="193"/>
        <v>1.6</v>
      </c>
      <c r="F187" s="9">
        <f t="shared" si="193"/>
        <v>1</v>
      </c>
      <c r="G187" s="9">
        <f t="shared" si="193"/>
        <v>4</v>
      </c>
      <c r="H187" s="9">
        <f t="shared" si="193"/>
        <v>679.4</v>
      </c>
      <c r="I187" s="9">
        <f t="shared" si="193"/>
        <v>0.75636400000000004</v>
      </c>
      <c r="J187" s="9">
        <f t="shared" si="193"/>
        <v>0.75446500000000005</v>
      </c>
      <c r="K187" s="9">
        <f t="shared" si="193"/>
        <v>0.797651</v>
      </c>
      <c r="AB187" t="s">
        <v>25</v>
      </c>
      <c r="AC187">
        <v>20</v>
      </c>
      <c r="AD187">
        <v>0.5</v>
      </c>
      <c r="AE187" s="5">
        <v>0.67806699999999998</v>
      </c>
      <c r="AF187" s="14">
        <v>0.8</v>
      </c>
      <c r="AG187" s="14">
        <v>3.2</v>
      </c>
      <c r="AH187" s="14">
        <v>1.8</v>
      </c>
      <c r="AI187" s="14">
        <v>680.2</v>
      </c>
      <c r="AJ187" s="5">
        <v>0.39333299999999999</v>
      </c>
      <c r="AK187" s="5">
        <v>0.39156800000000003</v>
      </c>
      <c r="AL187" s="5">
        <v>0.35911900000000002</v>
      </c>
    </row>
    <row r="188" spans="1:38" x14ac:dyDescent="0.25">
      <c r="A188" t="s">
        <v>21</v>
      </c>
      <c r="B188">
        <v>50</v>
      </c>
      <c r="C188">
        <v>0.7</v>
      </c>
      <c r="D188" s="9">
        <f t="shared" ref="D188:K188" si="194">AE216</f>
        <v>0.68524300000000005</v>
      </c>
      <c r="E188" s="9">
        <f t="shared" si="194"/>
        <v>1</v>
      </c>
      <c r="F188" s="9">
        <f t="shared" si="194"/>
        <v>1.8</v>
      </c>
      <c r="G188" s="9">
        <f t="shared" si="194"/>
        <v>3.2</v>
      </c>
      <c r="H188" s="9">
        <f t="shared" si="194"/>
        <v>680</v>
      </c>
      <c r="I188" s="9">
        <f t="shared" si="194"/>
        <v>0.68</v>
      </c>
      <c r="J188" s="9">
        <f t="shared" si="194"/>
        <v>0.67801999999999996</v>
      </c>
      <c r="K188" s="9">
        <f t="shared" si="194"/>
        <v>0.63853199999999999</v>
      </c>
      <c r="AB188" t="s">
        <v>25</v>
      </c>
      <c r="AC188">
        <v>20</v>
      </c>
      <c r="AD188">
        <v>0.6</v>
      </c>
      <c r="AE188" s="5">
        <v>0.67806699999999998</v>
      </c>
      <c r="AF188" s="14">
        <v>0.6</v>
      </c>
      <c r="AG188" s="14">
        <v>5</v>
      </c>
      <c r="AH188" s="14">
        <v>0</v>
      </c>
      <c r="AI188" s="14">
        <v>680.4</v>
      </c>
      <c r="AJ188" s="5">
        <v>0</v>
      </c>
      <c r="AK188" s="5">
        <v>-1.4610000000000001E-3</v>
      </c>
      <c r="AL188" s="5">
        <v>0</v>
      </c>
    </row>
    <row r="189" spans="1:38" x14ac:dyDescent="0.25">
      <c r="A189" t="s">
        <v>21</v>
      </c>
      <c r="B189">
        <v>50</v>
      </c>
      <c r="C189">
        <v>0.8</v>
      </c>
      <c r="D189" s="9">
        <f t="shared" ref="D189:K189" si="195">AE217</f>
        <v>0.68524300000000005</v>
      </c>
      <c r="E189" s="9">
        <f t="shared" si="195"/>
        <v>1</v>
      </c>
      <c r="F189" s="9">
        <f t="shared" si="195"/>
        <v>4</v>
      </c>
      <c r="G189" s="9">
        <f t="shared" si="195"/>
        <v>1</v>
      </c>
      <c r="H189" s="9">
        <f t="shared" si="195"/>
        <v>680</v>
      </c>
      <c r="I189" s="9">
        <f t="shared" si="195"/>
        <v>0.25714300000000001</v>
      </c>
      <c r="J189" s="9">
        <f t="shared" si="195"/>
        <v>0.25447199999999998</v>
      </c>
      <c r="K189" s="9">
        <f t="shared" si="195"/>
        <v>0.19911899999999999</v>
      </c>
      <c r="AB189" t="s">
        <v>25</v>
      </c>
      <c r="AC189">
        <v>20</v>
      </c>
      <c r="AD189">
        <v>0.7</v>
      </c>
      <c r="AE189" s="5">
        <v>0.67806699999999998</v>
      </c>
      <c r="AF189" s="14">
        <v>0</v>
      </c>
      <c r="AG189" s="14">
        <v>5</v>
      </c>
      <c r="AH189" s="14">
        <v>0</v>
      </c>
      <c r="AI189" s="14">
        <v>681</v>
      </c>
      <c r="AJ189" s="5">
        <v>0</v>
      </c>
      <c r="AK189" s="5">
        <v>0</v>
      </c>
      <c r="AL189" s="5">
        <v>0</v>
      </c>
    </row>
    <row r="190" spans="1:38" x14ac:dyDescent="0.25">
      <c r="A190" t="s">
        <v>21</v>
      </c>
      <c r="B190">
        <v>50</v>
      </c>
      <c r="C190">
        <v>0.9</v>
      </c>
      <c r="D190" s="9">
        <f t="shared" ref="D190:K190" si="196">AE218</f>
        <v>0.68524300000000005</v>
      </c>
      <c r="E190" s="9">
        <f t="shared" si="196"/>
        <v>0.4</v>
      </c>
      <c r="F190" s="9">
        <f t="shared" si="196"/>
        <v>5</v>
      </c>
      <c r="G190" s="9">
        <f t="shared" si="196"/>
        <v>0</v>
      </c>
      <c r="H190" s="9">
        <f t="shared" si="196"/>
        <v>680.6</v>
      </c>
      <c r="I190" s="9">
        <f t="shared" si="196"/>
        <v>0</v>
      </c>
      <c r="J190" s="9">
        <f t="shared" si="196"/>
        <v>-9.7400000000000004E-4</v>
      </c>
      <c r="K190" s="9">
        <f t="shared" si="196"/>
        <v>0</v>
      </c>
      <c r="AB190" t="s">
        <v>25</v>
      </c>
      <c r="AC190">
        <v>20</v>
      </c>
      <c r="AD190">
        <v>0.8</v>
      </c>
      <c r="AE190" s="5">
        <v>0.67806699999999998</v>
      </c>
      <c r="AF190" s="14">
        <v>0</v>
      </c>
      <c r="AG190" s="14">
        <v>5</v>
      </c>
      <c r="AH190" s="14">
        <v>0</v>
      </c>
      <c r="AI190" s="14">
        <v>681</v>
      </c>
      <c r="AJ190" s="5">
        <v>0</v>
      </c>
      <c r="AK190" s="5">
        <v>0</v>
      </c>
      <c r="AL190" s="5">
        <v>0</v>
      </c>
    </row>
    <row r="191" spans="1:38" x14ac:dyDescent="0.25">
      <c r="AB191" t="s">
        <v>25</v>
      </c>
      <c r="AC191">
        <v>20</v>
      </c>
      <c r="AD191">
        <v>0.9</v>
      </c>
      <c r="AE191" s="5">
        <v>0.67806699999999998</v>
      </c>
      <c r="AF191" s="14">
        <v>0</v>
      </c>
      <c r="AG191" s="14">
        <v>5</v>
      </c>
      <c r="AH191" s="14">
        <v>0</v>
      </c>
      <c r="AI191" s="14">
        <v>681</v>
      </c>
      <c r="AJ191" s="5">
        <v>0</v>
      </c>
      <c r="AK191" s="5">
        <v>0</v>
      </c>
      <c r="AL191" s="5">
        <v>0</v>
      </c>
    </row>
    <row r="192" spans="1:38" x14ac:dyDescent="0.25">
      <c r="AB192" t="s">
        <v>25</v>
      </c>
      <c r="AC192">
        <v>30</v>
      </c>
      <c r="AD192">
        <v>0.1</v>
      </c>
      <c r="AE192" s="5">
        <v>0.68344199999999999</v>
      </c>
      <c r="AF192" s="14">
        <v>16.2</v>
      </c>
      <c r="AG192" s="14">
        <v>0</v>
      </c>
      <c r="AH192" s="14">
        <v>5</v>
      </c>
      <c r="AI192" s="14">
        <v>664.8</v>
      </c>
      <c r="AJ192" s="5">
        <v>0.38176599999999999</v>
      </c>
      <c r="AK192" s="5">
        <v>0.37438700000000003</v>
      </c>
      <c r="AL192" s="5">
        <v>0.97621100000000005</v>
      </c>
    </row>
    <row r="193" spans="1:38" x14ac:dyDescent="0.25"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s="5" t="s">
        <v>0</v>
      </c>
      <c r="J193" t="s">
        <v>0</v>
      </c>
      <c r="K193" t="s">
        <v>0</v>
      </c>
      <c r="AB193" t="s">
        <v>25</v>
      </c>
      <c r="AC193">
        <v>30</v>
      </c>
      <c r="AD193">
        <v>0.2</v>
      </c>
      <c r="AE193" s="5">
        <v>0.68344199999999999</v>
      </c>
      <c r="AF193" s="14">
        <v>11</v>
      </c>
      <c r="AG193" s="14">
        <v>0</v>
      </c>
      <c r="AH193" s="14">
        <v>5</v>
      </c>
      <c r="AI193" s="14">
        <v>670</v>
      </c>
      <c r="AJ193" s="5">
        <v>0.47755799999999998</v>
      </c>
      <c r="AK193" s="5">
        <v>0.47169</v>
      </c>
      <c r="AL193" s="5">
        <v>0.98384700000000003</v>
      </c>
    </row>
    <row r="194" spans="1:38" x14ac:dyDescent="0.25">
      <c r="A194" t="s">
        <v>1</v>
      </c>
      <c r="B194" t="s">
        <v>2</v>
      </c>
      <c r="C194" t="s">
        <v>13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s="5" t="s">
        <v>8</v>
      </c>
      <c r="J194" t="s">
        <v>9</v>
      </c>
      <c r="K194" t="s">
        <v>10</v>
      </c>
      <c r="AB194" t="s">
        <v>25</v>
      </c>
      <c r="AC194">
        <v>30</v>
      </c>
      <c r="AD194">
        <v>0.3</v>
      </c>
      <c r="AE194" s="5">
        <v>0.68344199999999999</v>
      </c>
      <c r="AF194" s="14">
        <v>6.2</v>
      </c>
      <c r="AG194" s="14">
        <v>0.2</v>
      </c>
      <c r="AH194" s="14">
        <v>4.8</v>
      </c>
      <c r="AI194" s="14">
        <v>674.8</v>
      </c>
      <c r="AJ194" s="5">
        <v>0.60363199999999995</v>
      </c>
      <c r="AK194" s="5">
        <v>0.59963100000000003</v>
      </c>
      <c r="AL194" s="5">
        <v>0.95089599999999996</v>
      </c>
    </row>
    <row r="195" spans="1:38" x14ac:dyDescent="0.25">
      <c r="A195" t="s">
        <v>21</v>
      </c>
      <c r="B195">
        <v>60</v>
      </c>
      <c r="C195">
        <v>0.1</v>
      </c>
      <c r="D195" s="9">
        <f t="shared" ref="D195:K195" si="197">AE219</f>
        <v>0.68206100000000003</v>
      </c>
      <c r="E195" s="9">
        <f t="shared" si="197"/>
        <v>179.4</v>
      </c>
      <c r="F195" s="9">
        <f t="shared" si="197"/>
        <v>0</v>
      </c>
      <c r="G195" s="9">
        <f t="shared" si="197"/>
        <v>5</v>
      </c>
      <c r="H195" s="9">
        <f t="shared" si="197"/>
        <v>501.6</v>
      </c>
      <c r="I195" s="9">
        <f t="shared" si="197"/>
        <v>0.150421</v>
      </c>
      <c r="J195" s="9">
        <f t="shared" si="197"/>
        <v>0.13874</v>
      </c>
      <c r="K195" s="9">
        <f t="shared" si="197"/>
        <v>0.736564</v>
      </c>
      <c r="AB195" t="s">
        <v>25</v>
      </c>
      <c r="AC195">
        <v>30</v>
      </c>
      <c r="AD195">
        <v>0.4</v>
      </c>
      <c r="AE195" s="5">
        <v>0.68344199999999999</v>
      </c>
      <c r="AF195" s="14">
        <v>3.8</v>
      </c>
      <c r="AG195" s="14">
        <v>1</v>
      </c>
      <c r="AH195" s="14">
        <v>4</v>
      </c>
      <c r="AI195" s="14">
        <v>677.2</v>
      </c>
      <c r="AJ195" s="5">
        <v>0.625641</v>
      </c>
      <c r="AK195" s="5">
        <v>0.62228399999999995</v>
      </c>
      <c r="AL195" s="5">
        <v>0.79442000000000002</v>
      </c>
    </row>
    <row r="196" spans="1:38" x14ac:dyDescent="0.25">
      <c r="A196" t="s">
        <v>21</v>
      </c>
      <c r="B196">
        <v>60</v>
      </c>
      <c r="C196">
        <v>0.2</v>
      </c>
      <c r="D196" s="9">
        <f t="shared" ref="D196:K196" si="198">AE220</f>
        <v>0.68206100000000003</v>
      </c>
      <c r="E196" s="9">
        <f t="shared" si="198"/>
        <v>15.4</v>
      </c>
      <c r="F196" s="9">
        <f t="shared" si="198"/>
        <v>0</v>
      </c>
      <c r="G196" s="9">
        <f t="shared" si="198"/>
        <v>5</v>
      </c>
      <c r="H196" s="9">
        <f t="shared" si="198"/>
        <v>665.6</v>
      </c>
      <c r="I196" s="9">
        <f t="shared" si="198"/>
        <v>0.39384599999999997</v>
      </c>
      <c r="J196" s="9">
        <f t="shared" si="198"/>
        <v>0.38666600000000001</v>
      </c>
      <c r="K196" s="9">
        <f t="shared" si="198"/>
        <v>0.97738599999999998</v>
      </c>
      <c r="AB196" t="s">
        <v>25</v>
      </c>
      <c r="AC196">
        <v>30</v>
      </c>
      <c r="AD196">
        <v>0.5</v>
      </c>
      <c r="AE196" s="5">
        <v>0.68344199999999999</v>
      </c>
      <c r="AF196" s="14">
        <v>3.2</v>
      </c>
      <c r="AG196" s="14">
        <v>1</v>
      </c>
      <c r="AH196" s="14">
        <v>4</v>
      </c>
      <c r="AI196" s="14">
        <v>677.8</v>
      </c>
      <c r="AJ196" s="5">
        <v>0.65827500000000005</v>
      </c>
      <c r="AK196" s="5">
        <v>0.65530200000000005</v>
      </c>
      <c r="AL196" s="5">
        <v>0.79530100000000004</v>
      </c>
    </row>
    <row r="197" spans="1:38" x14ac:dyDescent="0.25">
      <c r="A197" t="s">
        <v>21</v>
      </c>
      <c r="B197">
        <v>60</v>
      </c>
      <c r="C197">
        <v>0.3</v>
      </c>
      <c r="D197" s="9">
        <f t="shared" ref="D197:K197" si="199">AE221</f>
        <v>0.68206100000000003</v>
      </c>
      <c r="E197" s="9">
        <f t="shared" si="199"/>
        <v>8.6</v>
      </c>
      <c r="F197" s="9">
        <f t="shared" si="199"/>
        <v>0</v>
      </c>
      <c r="G197" s="9">
        <f t="shared" si="199"/>
        <v>5</v>
      </c>
      <c r="H197" s="9">
        <f t="shared" si="199"/>
        <v>672.4</v>
      </c>
      <c r="I197" s="9">
        <f t="shared" si="199"/>
        <v>0.53801200000000005</v>
      </c>
      <c r="J197" s="9">
        <f t="shared" si="199"/>
        <v>0.53303400000000001</v>
      </c>
      <c r="K197" s="9">
        <f t="shared" si="199"/>
        <v>0.98737200000000003</v>
      </c>
      <c r="AB197" t="s">
        <v>25</v>
      </c>
      <c r="AC197">
        <v>30</v>
      </c>
      <c r="AD197">
        <v>0.6</v>
      </c>
      <c r="AE197" s="5">
        <v>0.68344199999999999</v>
      </c>
      <c r="AF197" s="14">
        <v>2.2000000000000002</v>
      </c>
      <c r="AG197" s="14">
        <v>1</v>
      </c>
      <c r="AH197" s="14">
        <v>4</v>
      </c>
      <c r="AI197" s="14">
        <v>678.8</v>
      </c>
      <c r="AJ197" s="5">
        <v>0.71757599999999999</v>
      </c>
      <c r="AK197" s="5">
        <v>0.71526400000000001</v>
      </c>
      <c r="AL197" s="5">
        <v>0.79676899999999995</v>
      </c>
    </row>
    <row r="198" spans="1:38" x14ac:dyDescent="0.25">
      <c r="A198" t="s">
        <v>21</v>
      </c>
      <c r="B198">
        <v>60</v>
      </c>
      <c r="C198">
        <v>0.4</v>
      </c>
      <c r="D198" s="9">
        <f t="shared" ref="D198:K198" si="200">AE222</f>
        <v>0.68206100000000003</v>
      </c>
      <c r="E198" s="9">
        <f t="shared" si="200"/>
        <v>4.2</v>
      </c>
      <c r="F198" s="9">
        <f t="shared" si="200"/>
        <v>1</v>
      </c>
      <c r="G198" s="9">
        <f t="shared" si="200"/>
        <v>4</v>
      </c>
      <c r="H198" s="9">
        <f t="shared" si="200"/>
        <v>676.8</v>
      </c>
      <c r="I198" s="9">
        <f t="shared" si="200"/>
        <v>0.60659300000000005</v>
      </c>
      <c r="J198" s="9">
        <f t="shared" si="200"/>
        <v>0.60299700000000001</v>
      </c>
      <c r="K198" s="9">
        <f t="shared" si="200"/>
        <v>0.79383300000000001</v>
      </c>
      <c r="AB198" t="s">
        <v>25</v>
      </c>
      <c r="AC198">
        <v>30</v>
      </c>
      <c r="AD198">
        <v>0.7</v>
      </c>
      <c r="AE198" s="5">
        <v>0.68344199999999999</v>
      </c>
      <c r="AF198" s="14">
        <v>1</v>
      </c>
      <c r="AG198" s="14">
        <v>2</v>
      </c>
      <c r="AH198" s="14">
        <v>3</v>
      </c>
      <c r="AI198" s="14">
        <v>680</v>
      </c>
      <c r="AJ198" s="5">
        <v>0.65333300000000005</v>
      </c>
      <c r="AK198" s="5">
        <v>0.65121200000000001</v>
      </c>
      <c r="AL198" s="5">
        <v>0.59853199999999995</v>
      </c>
    </row>
    <row r="199" spans="1:38" x14ac:dyDescent="0.25">
      <c r="A199" s="4" t="s">
        <v>21</v>
      </c>
      <c r="B199" s="4">
        <v>60</v>
      </c>
      <c r="C199" s="4">
        <v>0.5</v>
      </c>
      <c r="D199" s="10">
        <f t="shared" ref="D199:K199" si="201">AE223</f>
        <v>0.68206100000000003</v>
      </c>
      <c r="E199" s="10">
        <f t="shared" si="201"/>
        <v>3</v>
      </c>
      <c r="F199" s="10">
        <f t="shared" si="201"/>
        <v>1</v>
      </c>
      <c r="G199" s="10">
        <f t="shared" si="201"/>
        <v>4</v>
      </c>
      <c r="H199" s="10">
        <f t="shared" si="201"/>
        <v>678</v>
      </c>
      <c r="I199" s="10">
        <f t="shared" si="201"/>
        <v>0.66666700000000001</v>
      </c>
      <c r="J199" s="10">
        <f t="shared" si="201"/>
        <v>0.66380799999999995</v>
      </c>
      <c r="K199" s="10">
        <f t="shared" si="201"/>
        <v>0.79559500000000005</v>
      </c>
      <c r="AB199" t="s">
        <v>25</v>
      </c>
      <c r="AC199">
        <v>30</v>
      </c>
      <c r="AD199">
        <v>0.8</v>
      </c>
      <c r="AE199" s="5">
        <v>0.68344199999999999</v>
      </c>
      <c r="AF199" s="14">
        <v>1</v>
      </c>
      <c r="AG199" s="14">
        <v>3.8</v>
      </c>
      <c r="AH199" s="14">
        <v>1.2</v>
      </c>
      <c r="AI199" s="14">
        <v>680</v>
      </c>
      <c r="AJ199" s="5">
        <v>0.3</v>
      </c>
      <c r="AK199" s="5">
        <v>0.297377</v>
      </c>
      <c r="AL199" s="5">
        <v>0.239119</v>
      </c>
    </row>
    <row r="200" spans="1:38" x14ac:dyDescent="0.25">
      <c r="A200" t="s">
        <v>21</v>
      </c>
      <c r="B200">
        <v>60</v>
      </c>
      <c r="C200">
        <v>0.6</v>
      </c>
      <c r="D200" s="9">
        <f t="shared" ref="D200:K200" si="202">AE224</f>
        <v>0.68206100000000003</v>
      </c>
      <c r="E200" s="9">
        <f t="shared" si="202"/>
        <v>1.4</v>
      </c>
      <c r="F200" s="9">
        <f t="shared" si="202"/>
        <v>1</v>
      </c>
      <c r="G200" s="9">
        <f t="shared" si="202"/>
        <v>4</v>
      </c>
      <c r="H200" s="9">
        <f t="shared" si="202"/>
        <v>679.6</v>
      </c>
      <c r="I200" s="9">
        <f t="shared" si="202"/>
        <v>0.77090899999999996</v>
      </c>
      <c r="J200" s="9">
        <f t="shared" si="202"/>
        <v>0.769154</v>
      </c>
      <c r="K200" s="9">
        <f t="shared" si="202"/>
        <v>0.79794399999999999</v>
      </c>
      <c r="AB200" t="s">
        <v>25</v>
      </c>
      <c r="AC200">
        <v>30</v>
      </c>
      <c r="AD200">
        <v>0.9</v>
      </c>
      <c r="AE200" s="5">
        <v>0.68344199999999999</v>
      </c>
      <c r="AF200" s="14">
        <v>0.4</v>
      </c>
      <c r="AG200" s="14">
        <v>5</v>
      </c>
      <c r="AH200" s="14">
        <v>0</v>
      </c>
      <c r="AI200" s="14">
        <v>680.6</v>
      </c>
      <c r="AJ200" s="5">
        <v>0</v>
      </c>
      <c r="AK200" s="5">
        <v>-9.7400000000000004E-4</v>
      </c>
      <c r="AL200" s="5">
        <v>0</v>
      </c>
    </row>
    <row r="201" spans="1:38" x14ac:dyDescent="0.25">
      <c r="A201" t="s">
        <v>21</v>
      </c>
      <c r="B201">
        <v>60</v>
      </c>
      <c r="C201">
        <v>0.7</v>
      </c>
      <c r="D201" s="9">
        <f t="shared" ref="D201:K201" si="203">AE225</f>
        <v>0.68206100000000003</v>
      </c>
      <c r="E201" s="9">
        <f t="shared" si="203"/>
        <v>1</v>
      </c>
      <c r="F201" s="9">
        <f t="shared" si="203"/>
        <v>2.2000000000000002</v>
      </c>
      <c r="G201" s="9">
        <f t="shared" si="203"/>
        <v>2.8</v>
      </c>
      <c r="H201" s="9">
        <f t="shared" si="203"/>
        <v>680</v>
      </c>
      <c r="I201" s="9">
        <f t="shared" si="203"/>
        <v>0.62</v>
      </c>
      <c r="J201" s="9">
        <f t="shared" si="203"/>
        <v>0.61776399999999998</v>
      </c>
      <c r="K201" s="9">
        <f t="shared" si="203"/>
        <v>0.55853200000000003</v>
      </c>
      <c r="AB201" t="s">
        <v>25</v>
      </c>
      <c r="AC201">
        <v>40</v>
      </c>
      <c r="AD201">
        <v>0.1</v>
      </c>
      <c r="AE201" s="5">
        <v>0.68569899999999995</v>
      </c>
      <c r="AF201" s="14">
        <v>18.399999999999999</v>
      </c>
      <c r="AG201" s="14">
        <v>0</v>
      </c>
      <c r="AH201" s="14">
        <v>5</v>
      </c>
      <c r="AI201" s="14">
        <v>662.6</v>
      </c>
      <c r="AJ201" s="5">
        <v>0.352217</v>
      </c>
      <c r="AK201" s="5">
        <v>0.34434199999999998</v>
      </c>
      <c r="AL201" s="5">
        <v>0.97298099999999998</v>
      </c>
    </row>
    <row r="202" spans="1:38" x14ac:dyDescent="0.25">
      <c r="A202" t="s">
        <v>21</v>
      </c>
      <c r="B202">
        <v>60</v>
      </c>
      <c r="C202">
        <v>0.8</v>
      </c>
      <c r="D202" s="9">
        <f t="shared" ref="D202:K202" si="204">AE226</f>
        <v>0.68206100000000003</v>
      </c>
      <c r="E202" s="9">
        <f t="shared" si="204"/>
        <v>1</v>
      </c>
      <c r="F202" s="9">
        <f t="shared" si="204"/>
        <v>4</v>
      </c>
      <c r="G202" s="9">
        <f t="shared" si="204"/>
        <v>1</v>
      </c>
      <c r="H202" s="9">
        <f t="shared" si="204"/>
        <v>680</v>
      </c>
      <c r="I202" s="9">
        <f t="shared" si="204"/>
        <v>0.25714300000000001</v>
      </c>
      <c r="J202" s="9">
        <f t="shared" si="204"/>
        <v>0.25447199999999998</v>
      </c>
      <c r="K202" s="9">
        <f t="shared" si="204"/>
        <v>0.19911899999999999</v>
      </c>
      <c r="AB202" t="s">
        <v>25</v>
      </c>
      <c r="AC202">
        <v>40</v>
      </c>
      <c r="AD202">
        <v>0.2</v>
      </c>
      <c r="AE202" s="5">
        <v>0.68569899999999995</v>
      </c>
      <c r="AF202" s="14">
        <v>13</v>
      </c>
      <c r="AG202" s="14">
        <v>0</v>
      </c>
      <c r="AH202" s="14">
        <v>5</v>
      </c>
      <c r="AI202" s="14">
        <v>668</v>
      </c>
      <c r="AJ202" s="5">
        <v>0.43544100000000002</v>
      </c>
      <c r="AK202" s="5">
        <v>0.428927</v>
      </c>
      <c r="AL202" s="5">
        <v>0.98090999999999995</v>
      </c>
    </row>
    <row r="203" spans="1:38" x14ac:dyDescent="0.25">
      <c r="A203" t="s">
        <v>21</v>
      </c>
      <c r="B203">
        <v>60</v>
      </c>
      <c r="C203">
        <v>0.9</v>
      </c>
      <c r="D203" s="9">
        <f t="shared" ref="D203:K203" si="205">AE227</f>
        <v>0.68206100000000003</v>
      </c>
      <c r="E203" s="9">
        <f t="shared" si="205"/>
        <v>0.6</v>
      </c>
      <c r="F203" s="9">
        <f t="shared" si="205"/>
        <v>5</v>
      </c>
      <c r="G203" s="9">
        <f t="shared" si="205"/>
        <v>0</v>
      </c>
      <c r="H203" s="9">
        <f t="shared" si="205"/>
        <v>680.4</v>
      </c>
      <c r="I203" s="9">
        <f t="shared" si="205"/>
        <v>0</v>
      </c>
      <c r="J203" s="9">
        <f t="shared" si="205"/>
        <v>-1.4610000000000001E-3</v>
      </c>
      <c r="K203" s="9">
        <f t="shared" si="205"/>
        <v>0</v>
      </c>
      <c r="AB203" t="s">
        <v>25</v>
      </c>
      <c r="AC203">
        <v>40</v>
      </c>
      <c r="AD203">
        <v>0.3</v>
      </c>
      <c r="AE203" s="5">
        <v>0.68569899999999995</v>
      </c>
      <c r="AF203" s="14">
        <v>7</v>
      </c>
      <c r="AG203" s="14">
        <v>0</v>
      </c>
      <c r="AH203" s="14">
        <v>5</v>
      </c>
      <c r="AI203" s="14">
        <v>674</v>
      </c>
      <c r="AJ203" s="5">
        <v>0.59166700000000005</v>
      </c>
      <c r="AK203" s="5">
        <v>0.58741600000000005</v>
      </c>
      <c r="AL203" s="5">
        <v>0.98972099999999996</v>
      </c>
    </row>
    <row r="204" spans="1:38" x14ac:dyDescent="0.25">
      <c r="AB204" t="s">
        <v>25</v>
      </c>
      <c r="AC204">
        <v>40</v>
      </c>
      <c r="AD204">
        <v>0.4</v>
      </c>
      <c r="AE204" s="5">
        <v>0.68569899999999995</v>
      </c>
      <c r="AF204" s="14">
        <v>4</v>
      </c>
      <c r="AG204" s="14">
        <v>1</v>
      </c>
      <c r="AH204" s="14">
        <v>4</v>
      </c>
      <c r="AI204" s="14">
        <v>677</v>
      </c>
      <c r="AJ204" s="5">
        <v>0.61538499999999996</v>
      </c>
      <c r="AK204" s="5">
        <v>0.61190299999999997</v>
      </c>
      <c r="AL204" s="5">
        <v>0.794126</v>
      </c>
    </row>
    <row r="205" spans="1:38" x14ac:dyDescent="0.25">
      <c r="AB205" t="s">
        <v>25</v>
      </c>
      <c r="AC205">
        <v>40</v>
      </c>
      <c r="AD205">
        <v>0.5</v>
      </c>
      <c r="AE205" s="5">
        <v>0.68569899999999995</v>
      </c>
      <c r="AF205" s="14">
        <v>3</v>
      </c>
      <c r="AG205" s="14">
        <v>1</v>
      </c>
      <c r="AH205" s="14">
        <v>4</v>
      </c>
      <c r="AI205" s="14">
        <v>678</v>
      </c>
      <c r="AJ205" s="5">
        <v>0.66853099999999999</v>
      </c>
      <c r="AK205" s="5">
        <v>0.66568300000000002</v>
      </c>
      <c r="AL205" s="5">
        <v>0.79559500000000005</v>
      </c>
    </row>
    <row r="206" spans="1:38" x14ac:dyDescent="0.25"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s="5" t="s">
        <v>0</v>
      </c>
      <c r="J206" t="s">
        <v>0</v>
      </c>
      <c r="K206" t="s">
        <v>0</v>
      </c>
      <c r="AB206" t="s">
        <v>25</v>
      </c>
      <c r="AC206">
        <v>40</v>
      </c>
      <c r="AD206">
        <v>0.6</v>
      </c>
      <c r="AE206" s="5">
        <v>0.68569899999999995</v>
      </c>
      <c r="AF206" s="14">
        <v>1.6</v>
      </c>
      <c r="AG206" s="14">
        <v>1</v>
      </c>
      <c r="AH206" s="14">
        <v>4</v>
      </c>
      <c r="AI206" s="14">
        <v>679.4</v>
      </c>
      <c r="AJ206" s="5">
        <v>0.75636400000000004</v>
      </c>
      <c r="AK206" s="5">
        <v>0.75446500000000005</v>
      </c>
      <c r="AL206" s="5">
        <v>0.797651</v>
      </c>
    </row>
    <row r="207" spans="1:38" x14ac:dyDescent="0.25">
      <c r="A207" t="s">
        <v>1</v>
      </c>
      <c r="B207" t="s">
        <v>2</v>
      </c>
      <c r="C207" t="s">
        <v>13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s="5" t="s">
        <v>8</v>
      </c>
      <c r="J207" t="s">
        <v>9</v>
      </c>
      <c r="K207" t="s">
        <v>10</v>
      </c>
      <c r="AB207" t="s">
        <v>25</v>
      </c>
      <c r="AC207">
        <v>40</v>
      </c>
      <c r="AD207">
        <v>0.7</v>
      </c>
      <c r="AE207" s="5">
        <v>0.68569899999999995</v>
      </c>
      <c r="AF207" s="14">
        <v>1</v>
      </c>
      <c r="AG207" s="14">
        <v>1.8</v>
      </c>
      <c r="AH207" s="14">
        <v>3.2</v>
      </c>
      <c r="AI207" s="14">
        <v>680</v>
      </c>
      <c r="AJ207" s="5">
        <v>0.68</v>
      </c>
      <c r="AK207" s="5">
        <v>0.67801999999999996</v>
      </c>
      <c r="AL207" s="5">
        <v>0.63853199999999999</v>
      </c>
    </row>
    <row r="208" spans="1:38" x14ac:dyDescent="0.25">
      <c r="A208" t="s">
        <v>21</v>
      </c>
      <c r="B208">
        <v>70</v>
      </c>
      <c r="C208">
        <v>0.1</v>
      </c>
      <c r="D208" s="9">
        <f t="shared" ref="D208:K208" si="206">AE228</f>
        <v>0.67721100000000001</v>
      </c>
      <c r="E208" s="9">
        <f t="shared" si="206"/>
        <v>680.4</v>
      </c>
      <c r="F208" s="9">
        <f t="shared" si="206"/>
        <v>0</v>
      </c>
      <c r="G208" s="9">
        <f t="shared" si="206"/>
        <v>5</v>
      </c>
      <c r="H208" s="9">
        <f t="shared" si="206"/>
        <v>0.6</v>
      </c>
      <c r="I208" s="9">
        <f t="shared" si="206"/>
        <v>1.4484E-2</v>
      </c>
      <c r="J208" s="9">
        <f t="shared" si="206"/>
        <v>1.2999999999999999E-5</v>
      </c>
      <c r="K208" s="9">
        <f t="shared" si="206"/>
        <v>8.8099999999999995E-4</v>
      </c>
      <c r="AB208" t="s">
        <v>25</v>
      </c>
      <c r="AC208">
        <v>40</v>
      </c>
      <c r="AD208">
        <v>0.8</v>
      </c>
      <c r="AE208" s="5">
        <v>0.68569899999999995</v>
      </c>
      <c r="AF208" s="14">
        <v>1</v>
      </c>
      <c r="AG208" s="14">
        <v>3.8</v>
      </c>
      <c r="AH208" s="14">
        <v>1.2</v>
      </c>
      <c r="AI208" s="14">
        <v>680</v>
      </c>
      <c r="AJ208" s="5">
        <v>0.3</v>
      </c>
      <c r="AK208" s="5">
        <v>0.297377</v>
      </c>
      <c r="AL208" s="5">
        <v>0.239119</v>
      </c>
    </row>
    <row r="209" spans="1:38" x14ac:dyDescent="0.25">
      <c r="A209" t="s">
        <v>21</v>
      </c>
      <c r="B209">
        <v>70</v>
      </c>
      <c r="C209">
        <v>0.2</v>
      </c>
      <c r="D209" s="9">
        <f t="shared" ref="D209:K209" si="207">AE229</f>
        <v>0.67721100000000001</v>
      </c>
      <c r="E209" s="9">
        <f t="shared" si="207"/>
        <v>17.399999999999999</v>
      </c>
      <c r="F209" s="9">
        <f t="shared" si="207"/>
        <v>0</v>
      </c>
      <c r="G209" s="9">
        <f t="shared" si="207"/>
        <v>5</v>
      </c>
      <c r="H209" s="9">
        <f t="shared" si="207"/>
        <v>663.6</v>
      </c>
      <c r="I209" s="9">
        <f t="shared" si="207"/>
        <v>0.36507899999999999</v>
      </c>
      <c r="J209" s="9">
        <f t="shared" si="207"/>
        <v>0.35742200000000002</v>
      </c>
      <c r="K209" s="9">
        <f t="shared" si="207"/>
        <v>0.97444900000000001</v>
      </c>
      <c r="AB209" t="s">
        <v>25</v>
      </c>
      <c r="AC209">
        <v>40</v>
      </c>
      <c r="AD209">
        <v>0.9</v>
      </c>
      <c r="AE209" s="5">
        <v>0.68569899999999995</v>
      </c>
      <c r="AF209" s="14">
        <v>0.4</v>
      </c>
      <c r="AG209" s="14">
        <v>5</v>
      </c>
      <c r="AH209" s="14">
        <v>0</v>
      </c>
      <c r="AI209" s="14">
        <v>680.6</v>
      </c>
      <c r="AJ209" s="5">
        <v>0</v>
      </c>
      <c r="AK209" s="5">
        <v>-9.7400000000000004E-4</v>
      </c>
      <c r="AL209" s="5">
        <v>0</v>
      </c>
    </row>
    <row r="210" spans="1:38" x14ac:dyDescent="0.25">
      <c r="A210" t="s">
        <v>21</v>
      </c>
      <c r="B210">
        <v>70</v>
      </c>
      <c r="C210">
        <v>0.3</v>
      </c>
      <c r="D210" s="9">
        <f t="shared" ref="D210:K210" si="208">AE230</f>
        <v>0.67721100000000001</v>
      </c>
      <c r="E210" s="9">
        <f t="shared" si="208"/>
        <v>11.2</v>
      </c>
      <c r="F210" s="9">
        <f t="shared" si="208"/>
        <v>0</v>
      </c>
      <c r="G210" s="9">
        <f t="shared" si="208"/>
        <v>5</v>
      </c>
      <c r="H210" s="9">
        <f t="shared" si="208"/>
        <v>669.8</v>
      </c>
      <c r="I210" s="9">
        <f t="shared" si="208"/>
        <v>0.47186099999999997</v>
      </c>
      <c r="J210" s="9">
        <f t="shared" si="208"/>
        <v>0.46591199999999999</v>
      </c>
      <c r="K210" s="9">
        <f t="shared" si="208"/>
        <v>0.98355400000000004</v>
      </c>
      <c r="AB210" t="s">
        <v>25</v>
      </c>
      <c r="AC210">
        <v>50</v>
      </c>
      <c r="AD210">
        <v>0.1</v>
      </c>
      <c r="AE210" s="5">
        <v>0.68524300000000005</v>
      </c>
      <c r="AF210" s="14">
        <v>21.8</v>
      </c>
      <c r="AG210" s="14">
        <v>0</v>
      </c>
      <c r="AH210" s="14">
        <v>5</v>
      </c>
      <c r="AI210" s="14">
        <v>659.2</v>
      </c>
      <c r="AJ210" s="5">
        <v>0.31487199999999999</v>
      </c>
      <c r="AK210" s="5">
        <v>0.30635099999999998</v>
      </c>
      <c r="AL210" s="5">
        <v>0.96798799999999996</v>
      </c>
    </row>
    <row r="211" spans="1:38" x14ac:dyDescent="0.25">
      <c r="A211" t="s">
        <v>21</v>
      </c>
      <c r="B211">
        <v>70</v>
      </c>
      <c r="C211">
        <v>0.4</v>
      </c>
      <c r="D211" s="9">
        <f t="shared" ref="D211:K211" si="209">AE231</f>
        <v>0.67721100000000001</v>
      </c>
      <c r="E211" s="9">
        <f t="shared" si="209"/>
        <v>4</v>
      </c>
      <c r="F211" s="9">
        <f t="shared" si="209"/>
        <v>1</v>
      </c>
      <c r="G211" s="9">
        <f t="shared" si="209"/>
        <v>4</v>
      </c>
      <c r="H211" s="9">
        <f t="shared" si="209"/>
        <v>677</v>
      </c>
      <c r="I211" s="9">
        <f t="shared" si="209"/>
        <v>0.61538499999999996</v>
      </c>
      <c r="J211" s="9">
        <f t="shared" si="209"/>
        <v>0.61190299999999997</v>
      </c>
      <c r="K211" s="9">
        <f t="shared" si="209"/>
        <v>0.794126</v>
      </c>
      <c r="AB211" t="s">
        <v>25</v>
      </c>
      <c r="AC211">
        <v>50</v>
      </c>
      <c r="AD211">
        <v>0.2</v>
      </c>
      <c r="AE211" s="5">
        <v>0.68524300000000005</v>
      </c>
      <c r="AF211" s="14">
        <v>14</v>
      </c>
      <c r="AG211" s="14">
        <v>0</v>
      </c>
      <c r="AH211" s="14">
        <v>5</v>
      </c>
      <c r="AI211" s="14">
        <v>667</v>
      </c>
      <c r="AJ211" s="5">
        <v>0.41666700000000001</v>
      </c>
      <c r="AK211" s="5">
        <v>0.409856</v>
      </c>
      <c r="AL211" s="5">
        <v>0.97944200000000003</v>
      </c>
    </row>
    <row r="212" spans="1:38" x14ac:dyDescent="0.25">
      <c r="A212" s="4" t="s">
        <v>21</v>
      </c>
      <c r="B212" s="4">
        <v>70</v>
      </c>
      <c r="C212" s="4">
        <v>0.5</v>
      </c>
      <c r="D212" s="10">
        <f t="shared" ref="D212:K212" si="210">AE232</f>
        <v>0.67721100000000001</v>
      </c>
      <c r="E212" s="10">
        <f t="shared" si="210"/>
        <v>3</v>
      </c>
      <c r="F212" s="10">
        <f t="shared" si="210"/>
        <v>1</v>
      </c>
      <c r="G212" s="10">
        <f t="shared" si="210"/>
        <v>4</v>
      </c>
      <c r="H212" s="10">
        <f t="shared" si="210"/>
        <v>678</v>
      </c>
      <c r="I212" s="10">
        <f t="shared" si="210"/>
        <v>0.66666700000000001</v>
      </c>
      <c r="J212" s="10">
        <f t="shared" si="210"/>
        <v>0.66380799999999995</v>
      </c>
      <c r="K212" s="10">
        <f t="shared" si="210"/>
        <v>0.79559500000000005</v>
      </c>
      <c r="AB212" t="s">
        <v>25</v>
      </c>
      <c r="AC212">
        <v>50</v>
      </c>
      <c r="AD212">
        <v>0.3</v>
      </c>
      <c r="AE212" s="5">
        <v>0.68524300000000005</v>
      </c>
      <c r="AF212" s="14">
        <v>8</v>
      </c>
      <c r="AG212" s="14">
        <v>0</v>
      </c>
      <c r="AH212" s="14">
        <v>5</v>
      </c>
      <c r="AI212" s="14">
        <v>673</v>
      </c>
      <c r="AJ212" s="5">
        <v>0.55555600000000005</v>
      </c>
      <c r="AK212" s="5">
        <v>0.55082699999999996</v>
      </c>
      <c r="AL212" s="5">
        <v>0.98825300000000005</v>
      </c>
    </row>
    <row r="213" spans="1:38" x14ac:dyDescent="0.25">
      <c r="A213" s="11" t="s">
        <v>21</v>
      </c>
      <c r="B213" s="11">
        <v>70</v>
      </c>
      <c r="C213" s="11">
        <v>0.6</v>
      </c>
      <c r="D213" s="13">
        <f t="shared" ref="D213:K213" si="211">AE233</f>
        <v>0.67721100000000001</v>
      </c>
      <c r="E213" s="13">
        <f t="shared" si="211"/>
        <v>1</v>
      </c>
      <c r="F213" s="13">
        <f t="shared" si="211"/>
        <v>1</v>
      </c>
      <c r="G213" s="13">
        <f t="shared" si="211"/>
        <v>4</v>
      </c>
      <c r="H213" s="13">
        <f t="shared" si="211"/>
        <v>680</v>
      </c>
      <c r="I213" s="13">
        <f t="shared" si="211"/>
        <v>0.8</v>
      </c>
      <c r="J213" s="13">
        <f t="shared" si="211"/>
        <v>0.79853200000000002</v>
      </c>
      <c r="K213" s="13">
        <f t="shared" si="211"/>
        <v>0.79853200000000002</v>
      </c>
      <c r="N213" s="9"/>
      <c r="AB213" t="s">
        <v>25</v>
      </c>
      <c r="AC213">
        <v>50</v>
      </c>
      <c r="AD213">
        <v>0.4</v>
      </c>
      <c r="AE213" s="5">
        <v>0.68524300000000005</v>
      </c>
      <c r="AF213" s="14">
        <v>4</v>
      </c>
      <c r="AG213" s="14">
        <v>1</v>
      </c>
      <c r="AH213" s="14">
        <v>4</v>
      </c>
      <c r="AI213" s="14">
        <v>677</v>
      </c>
      <c r="AJ213" s="5">
        <v>0.61538499999999996</v>
      </c>
      <c r="AK213" s="5">
        <v>0.61190299999999997</v>
      </c>
      <c r="AL213" s="5">
        <v>0.794126</v>
      </c>
    </row>
    <row r="214" spans="1:38" x14ac:dyDescent="0.25">
      <c r="A214" t="s">
        <v>21</v>
      </c>
      <c r="B214">
        <v>70</v>
      </c>
      <c r="C214">
        <v>0.7</v>
      </c>
      <c r="D214" s="9">
        <f t="shared" ref="D214:K214" si="212">AE234</f>
        <v>0.67721100000000001</v>
      </c>
      <c r="E214" s="9">
        <f t="shared" si="212"/>
        <v>1</v>
      </c>
      <c r="F214" s="9">
        <f t="shared" si="212"/>
        <v>3</v>
      </c>
      <c r="G214" s="9">
        <f t="shared" si="212"/>
        <v>2</v>
      </c>
      <c r="H214" s="9">
        <f t="shared" si="212"/>
        <v>680</v>
      </c>
      <c r="I214" s="9">
        <f t="shared" si="212"/>
        <v>0.5</v>
      </c>
      <c r="J214" s="9">
        <f t="shared" si="212"/>
        <v>0.49725200000000003</v>
      </c>
      <c r="K214" s="9">
        <f t="shared" si="212"/>
        <v>0.398532</v>
      </c>
      <c r="AB214" t="s">
        <v>25</v>
      </c>
      <c r="AC214">
        <v>50</v>
      </c>
      <c r="AD214">
        <v>0.5</v>
      </c>
      <c r="AE214" s="5">
        <v>0.68524300000000005</v>
      </c>
      <c r="AF214" s="14">
        <v>2.8</v>
      </c>
      <c r="AG214" s="14">
        <v>1</v>
      </c>
      <c r="AH214" s="14">
        <v>4</v>
      </c>
      <c r="AI214" s="14">
        <v>678.2</v>
      </c>
      <c r="AJ214" s="5">
        <v>0.67878799999999995</v>
      </c>
      <c r="AK214" s="5">
        <v>0.676064</v>
      </c>
      <c r="AL214" s="5">
        <v>0.79588800000000004</v>
      </c>
    </row>
    <row r="215" spans="1:38" x14ac:dyDescent="0.25">
      <c r="A215" t="s">
        <v>21</v>
      </c>
      <c r="B215">
        <v>70</v>
      </c>
      <c r="C215">
        <v>0.8</v>
      </c>
      <c r="D215" s="9">
        <f t="shared" ref="D215:K215" si="213">AE235</f>
        <v>0.67721100000000001</v>
      </c>
      <c r="E215" s="9">
        <f t="shared" si="213"/>
        <v>1</v>
      </c>
      <c r="F215" s="9">
        <f t="shared" si="213"/>
        <v>4.5999999999999996</v>
      </c>
      <c r="G215" s="9">
        <f t="shared" si="213"/>
        <v>0.4</v>
      </c>
      <c r="H215" s="9">
        <f t="shared" si="213"/>
        <v>680</v>
      </c>
      <c r="I215" s="9">
        <f t="shared" si="213"/>
        <v>0.114286</v>
      </c>
      <c r="J215" s="9">
        <f t="shared" si="213"/>
        <v>0.11162900000000001</v>
      </c>
      <c r="K215" s="9">
        <f t="shared" si="213"/>
        <v>7.9412999999999997E-2</v>
      </c>
      <c r="AB215" t="s">
        <v>25</v>
      </c>
      <c r="AC215">
        <v>50</v>
      </c>
      <c r="AD215">
        <v>0.6</v>
      </c>
      <c r="AE215" s="5">
        <v>0.68524300000000005</v>
      </c>
      <c r="AF215" s="14">
        <v>1.6</v>
      </c>
      <c r="AG215" s="14">
        <v>1</v>
      </c>
      <c r="AH215" s="14">
        <v>4</v>
      </c>
      <c r="AI215" s="14">
        <v>679.4</v>
      </c>
      <c r="AJ215" s="5">
        <v>0.75636400000000004</v>
      </c>
      <c r="AK215" s="5">
        <v>0.75446500000000005</v>
      </c>
      <c r="AL215" s="5">
        <v>0.797651</v>
      </c>
    </row>
    <row r="216" spans="1:38" x14ac:dyDescent="0.25">
      <c r="A216" t="s">
        <v>21</v>
      </c>
      <c r="B216">
        <v>70</v>
      </c>
      <c r="C216">
        <v>0.9</v>
      </c>
      <c r="D216" s="9">
        <f t="shared" ref="D216:K216" si="214">AE236</f>
        <v>0.67721100000000001</v>
      </c>
      <c r="E216" s="9">
        <f t="shared" si="214"/>
        <v>0.4</v>
      </c>
      <c r="F216" s="9">
        <f t="shared" si="214"/>
        <v>5</v>
      </c>
      <c r="G216" s="9">
        <f t="shared" si="214"/>
        <v>0</v>
      </c>
      <c r="H216" s="9">
        <f t="shared" si="214"/>
        <v>680.6</v>
      </c>
      <c r="I216" s="9">
        <f t="shared" si="214"/>
        <v>0</v>
      </c>
      <c r="J216" s="9">
        <f t="shared" si="214"/>
        <v>-9.7400000000000004E-4</v>
      </c>
      <c r="K216" s="9">
        <f t="shared" si="214"/>
        <v>0</v>
      </c>
      <c r="AB216" t="s">
        <v>25</v>
      </c>
      <c r="AC216">
        <v>50</v>
      </c>
      <c r="AD216">
        <v>0.7</v>
      </c>
      <c r="AE216" s="5">
        <v>0.68524300000000005</v>
      </c>
      <c r="AF216" s="14">
        <v>1</v>
      </c>
      <c r="AG216" s="14">
        <v>1.8</v>
      </c>
      <c r="AH216" s="14">
        <v>3.2</v>
      </c>
      <c r="AI216" s="14">
        <v>680</v>
      </c>
      <c r="AJ216" s="5">
        <v>0.68</v>
      </c>
      <c r="AK216" s="5">
        <v>0.67801999999999996</v>
      </c>
      <c r="AL216" s="5">
        <v>0.63853199999999999</v>
      </c>
    </row>
    <row r="217" spans="1:38" x14ac:dyDescent="0.25">
      <c r="AB217" t="s">
        <v>25</v>
      </c>
      <c r="AC217">
        <v>50</v>
      </c>
      <c r="AD217">
        <v>0.8</v>
      </c>
      <c r="AE217" s="5">
        <v>0.68524300000000005</v>
      </c>
      <c r="AF217" s="14">
        <v>1</v>
      </c>
      <c r="AG217" s="14">
        <v>4</v>
      </c>
      <c r="AH217" s="14">
        <v>1</v>
      </c>
      <c r="AI217" s="14">
        <v>680</v>
      </c>
      <c r="AJ217" s="5">
        <v>0.25714300000000001</v>
      </c>
      <c r="AK217" s="5">
        <v>0.25447199999999998</v>
      </c>
      <c r="AL217" s="5">
        <v>0.19911899999999999</v>
      </c>
    </row>
    <row r="218" spans="1:38" x14ac:dyDescent="0.25">
      <c r="AB218" t="s">
        <v>25</v>
      </c>
      <c r="AC218">
        <v>50</v>
      </c>
      <c r="AD218">
        <v>0.9</v>
      </c>
      <c r="AE218" s="5">
        <v>0.68524300000000005</v>
      </c>
      <c r="AF218" s="14">
        <v>0.4</v>
      </c>
      <c r="AG218" s="14">
        <v>5</v>
      </c>
      <c r="AH218" s="14">
        <v>0</v>
      </c>
      <c r="AI218" s="14">
        <v>680.6</v>
      </c>
      <c r="AJ218" s="5">
        <v>0</v>
      </c>
      <c r="AK218" s="5">
        <v>-9.7400000000000004E-4</v>
      </c>
      <c r="AL218" s="5">
        <v>0</v>
      </c>
    </row>
    <row r="219" spans="1:38" x14ac:dyDescent="0.25"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s="5" t="s">
        <v>0</v>
      </c>
      <c r="J219" t="s">
        <v>0</v>
      </c>
      <c r="K219" t="s">
        <v>0</v>
      </c>
      <c r="AB219" t="s">
        <v>25</v>
      </c>
      <c r="AC219">
        <v>60</v>
      </c>
      <c r="AD219">
        <v>0.1</v>
      </c>
      <c r="AE219" s="5">
        <v>0.68206100000000003</v>
      </c>
      <c r="AF219" s="14">
        <v>179.4</v>
      </c>
      <c r="AG219" s="14">
        <v>0</v>
      </c>
      <c r="AH219" s="14">
        <v>5</v>
      </c>
      <c r="AI219" s="14">
        <v>501.6</v>
      </c>
      <c r="AJ219" s="5">
        <v>0.150421</v>
      </c>
      <c r="AK219" s="5">
        <v>0.13874</v>
      </c>
      <c r="AL219" s="5">
        <v>0.736564</v>
      </c>
    </row>
    <row r="220" spans="1:38" x14ac:dyDescent="0.25">
      <c r="A220" t="s">
        <v>1</v>
      </c>
      <c r="B220" t="s">
        <v>2</v>
      </c>
      <c r="C220" t="s">
        <v>13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s="5" t="s">
        <v>8</v>
      </c>
      <c r="J220" t="s">
        <v>9</v>
      </c>
      <c r="K220" t="s">
        <v>10</v>
      </c>
      <c r="AB220" t="s">
        <v>25</v>
      </c>
      <c r="AC220">
        <v>60</v>
      </c>
      <c r="AD220">
        <v>0.2</v>
      </c>
      <c r="AE220" s="5">
        <v>0.68206100000000003</v>
      </c>
      <c r="AF220" s="14">
        <v>15.4</v>
      </c>
      <c r="AG220" s="14">
        <v>0</v>
      </c>
      <c r="AH220" s="14">
        <v>5</v>
      </c>
      <c r="AI220" s="14">
        <v>665.6</v>
      </c>
      <c r="AJ220" s="5">
        <v>0.39384599999999997</v>
      </c>
      <c r="AK220" s="5">
        <v>0.38666600000000001</v>
      </c>
      <c r="AL220" s="5">
        <v>0.97738599999999998</v>
      </c>
    </row>
    <row r="221" spans="1:38" x14ac:dyDescent="0.25">
      <c r="A221" t="s">
        <v>21</v>
      </c>
      <c r="B221">
        <v>80</v>
      </c>
      <c r="C221">
        <v>0.1</v>
      </c>
      <c r="D221" s="9">
        <f t="shared" ref="D221:K221" si="215">AE237</f>
        <v>0.671095</v>
      </c>
      <c r="E221" s="9">
        <f t="shared" si="215"/>
        <v>681</v>
      </c>
      <c r="F221" s="9">
        <f t="shared" si="215"/>
        <v>0</v>
      </c>
      <c r="G221" s="9">
        <f t="shared" si="215"/>
        <v>5</v>
      </c>
      <c r="H221" s="9">
        <f t="shared" si="215"/>
        <v>0</v>
      </c>
      <c r="I221" s="9">
        <f t="shared" si="215"/>
        <v>1.4472E-2</v>
      </c>
      <c r="J221" s="9">
        <f t="shared" si="215"/>
        <v>0</v>
      </c>
      <c r="K221" s="9">
        <f t="shared" si="215"/>
        <v>0</v>
      </c>
      <c r="AB221" t="s">
        <v>25</v>
      </c>
      <c r="AC221">
        <v>60</v>
      </c>
      <c r="AD221">
        <v>0.3</v>
      </c>
      <c r="AE221" s="5">
        <v>0.68206100000000003</v>
      </c>
      <c r="AF221" s="14">
        <v>8.6</v>
      </c>
      <c r="AG221" s="14">
        <v>0</v>
      </c>
      <c r="AH221" s="14">
        <v>5</v>
      </c>
      <c r="AI221" s="14">
        <v>672.4</v>
      </c>
      <c r="AJ221" s="5">
        <v>0.53801200000000005</v>
      </c>
      <c r="AK221" s="5">
        <v>0.53303400000000001</v>
      </c>
      <c r="AL221" s="5">
        <v>0.98737200000000003</v>
      </c>
    </row>
    <row r="222" spans="1:38" x14ac:dyDescent="0.25">
      <c r="A222" t="s">
        <v>21</v>
      </c>
      <c r="B222">
        <v>80</v>
      </c>
      <c r="C222">
        <v>0.2</v>
      </c>
      <c r="D222" s="9">
        <f t="shared" ref="D222:K222" si="216">AE238</f>
        <v>0.671095</v>
      </c>
      <c r="E222" s="9">
        <f t="shared" si="216"/>
        <v>89</v>
      </c>
      <c r="F222" s="9">
        <f t="shared" si="216"/>
        <v>0</v>
      </c>
      <c r="G222" s="9">
        <f t="shared" si="216"/>
        <v>5</v>
      </c>
      <c r="H222" s="9">
        <f t="shared" si="216"/>
        <v>592</v>
      </c>
      <c r="I222" s="9">
        <f t="shared" si="216"/>
        <v>0.27106799999999998</v>
      </c>
      <c r="J222" s="9">
        <f t="shared" si="216"/>
        <v>0.26164999999999999</v>
      </c>
      <c r="K222" s="9">
        <f t="shared" si="216"/>
        <v>0.86931000000000003</v>
      </c>
      <c r="AB222" t="s">
        <v>25</v>
      </c>
      <c r="AC222">
        <v>60</v>
      </c>
      <c r="AD222">
        <v>0.4</v>
      </c>
      <c r="AE222" s="5">
        <v>0.68206100000000003</v>
      </c>
      <c r="AF222" s="14">
        <v>4.2</v>
      </c>
      <c r="AG222" s="14">
        <v>1</v>
      </c>
      <c r="AH222" s="14">
        <v>4</v>
      </c>
      <c r="AI222" s="14">
        <v>676.8</v>
      </c>
      <c r="AJ222" s="5">
        <v>0.60659300000000005</v>
      </c>
      <c r="AK222" s="5">
        <v>0.60299700000000001</v>
      </c>
      <c r="AL222" s="5">
        <v>0.79383300000000001</v>
      </c>
    </row>
    <row r="223" spans="1:38" x14ac:dyDescent="0.25">
      <c r="A223" t="s">
        <v>21</v>
      </c>
      <c r="B223">
        <v>80</v>
      </c>
      <c r="C223">
        <v>0.3</v>
      </c>
      <c r="D223" s="9">
        <f t="shared" ref="D223:K223" si="217">AE239</f>
        <v>0.671095</v>
      </c>
      <c r="E223" s="9">
        <f t="shared" si="217"/>
        <v>13.2</v>
      </c>
      <c r="F223" s="9">
        <f t="shared" si="217"/>
        <v>0</v>
      </c>
      <c r="G223" s="9">
        <f t="shared" si="217"/>
        <v>5</v>
      </c>
      <c r="H223" s="9">
        <f t="shared" si="217"/>
        <v>667.8</v>
      </c>
      <c r="I223" s="9">
        <f t="shared" si="217"/>
        <v>0.43148900000000001</v>
      </c>
      <c r="J223" s="9">
        <f t="shared" si="217"/>
        <v>0.42491299999999999</v>
      </c>
      <c r="K223" s="9">
        <f t="shared" si="217"/>
        <v>0.98061699999999996</v>
      </c>
      <c r="AB223" t="s">
        <v>25</v>
      </c>
      <c r="AC223">
        <v>60</v>
      </c>
      <c r="AD223">
        <v>0.5</v>
      </c>
      <c r="AE223" s="5">
        <v>0.68206100000000003</v>
      </c>
      <c r="AF223" s="14">
        <v>3</v>
      </c>
      <c r="AG223" s="14">
        <v>1</v>
      </c>
      <c r="AH223" s="14">
        <v>4</v>
      </c>
      <c r="AI223" s="14">
        <v>678</v>
      </c>
      <c r="AJ223" s="5">
        <v>0.66666700000000001</v>
      </c>
      <c r="AK223" s="5">
        <v>0.66380799999999995</v>
      </c>
      <c r="AL223" s="5">
        <v>0.79559500000000005</v>
      </c>
    </row>
    <row r="224" spans="1:38" x14ac:dyDescent="0.25">
      <c r="A224" t="s">
        <v>21</v>
      </c>
      <c r="B224">
        <v>80</v>
      </c>
      <c r="C224">
        <v>0.4</v>
      </c>
      <c r="D224" s="9">
        <f t="shared" ref="D224:K224" si="218">AE240</f>
        <v>0.671095</v>
      </c>
      <c r="E224" s="9">
        <f t="shared" si="218"/>
        <v>5.2</v>
      </c>
      <c r="F224" s="9">
        <f t="shared" si="218"/>
        <v>0.6</v>
      </c>
      <c r="G224" s="9">
        <f t="shared" si="218"/>
        <v>4.4000000000000004</v>
      </c>
      <c r="H224" s="9">
        <f t="shared" si="218"/>
        <v>675.8</v>
      </c>
      <c r="I224" s="9">
        <f t="shared" si="218"/>
        <v>0.60119</v>
      </c>
      <c r="J224" s="9">
        <f t="shared" si="218"/>
        <v>0.59734399999999999</v>
      </c>
      <c r="K224" s="9">
        <f t="shared" si="218"/>
        <v>0.87236400000000003</v>
      </c>
      <c r="AB224" t="s">
        <v>25</v>
      </c>
      <c r="AC224">
        <v>60</v>
      </c>
      <c r="AD224">
        <v>0.6</v>
      </c>
      <c r="AE224" s="5">
        <v>0.68206100000000003</v>
      </c>
      <c r="AF224" s="14">
        <v>1.4</v>
      </c>
      <c r="AG224" s="14">
        <v>1</v>
      </c>
      <c r="AH224" s="14">
        <v>4</v>
      </c>
      <c r="AI224" s="14">
        <v>679.6</v>
      </c>
      <c r="AJ224" s="5">
        <v>0.77090899999999996</v>
      </c>
      <c r="AK224" s="5">
        <v>0.769154</v>
      </c>
      <c r="AL224" s="5">
        <v>0.79794399999999999</v>
      </c>
    </row>
    <row r="225" spans="1:38" x14ac:dyDescent="0.25">
      <c r="A225" s="4" t="s">
        <v>21</v>
      </c>
      <c r="B225" s="4">
        <v>80</v>
      </c>
      <c r="C225" s="4">
        <v>0.5</v>
      </c>
      <c r="D225" s="10">
        <f t="shared" ref="D225:K225" si="219">AE241</f>
        <v>0.671095</v>
      </c>
      <c r="E225" s="10">
        <f t="shared" si="219"/>
        <v>3</v>
      </c>
      <c r="F225" s="10">
        <f t="shared" si="219"/>
        <v>1</v>
      </c>
      <c r="G225" s="10">
        <f t="shared" si="219"/>
        <v>4</v>
      </c>
      <c r="H225" s="10">
        <f t="shared" si="219"/>
        <v>678</v>
      </c>
      <c r="I225" s="10">
        <f t="shared" si="219"/>
        <v>0.66666700000000001</v>
      </c>
      <c r="J225" s="10">
        <f t="shared" si="219"/>
        <v>0.66380799999999995</v>
      </c>
      <c r="K225" s="10">
        <f t="shared" si="219"/>
        <v>0.79559500000000005</v>
      </c>
      <c r="AB225" t="s">
        <v>25</v>
      </c>
      <c r="AC225">
        <v>60</v>
      </c>
      <c r="AD225">
        <v>0.7</v>
      </c>
      <c r="AE225" s="5">
        <v>0.68206100000000003</v>
      </c>
      <c r="AF225" s="14">
        <v>1</v>
      </c>
      <c r="AG225" s="14">
        <v>2.2000000000000002</v>
      </c>
      <c r="AH225" s="14">
        <v>2.8</v>
      </c>
      <c r="AI225" s="14">
        <v>680</v>
      </c>
      <c r="AJ225" s="5">
        <v>0.62</v>
      </c>
      <c r="AK225" s="5">
        <v>0.61776399999999998</v>
      </c>
      <c r="AL225" s="5">
        <v>0.55853200000000003</v>
      </c>
    </row>
    <row r="226" spans="1:38" x14ac:dyDescent="0.25">
      <c r="A226" t="s">
        <v>21</v>
      </c>
      <c r="B226">
        <v>80</v>
      </c>
      <c r="C226">
        <v>0.6</v>
      </c>
      <c r="D226" s="9">
        <f t="shared" ref="D226:K226" si="220">AE242</f>
        <v>0.671095</v>
      </c>
      <c r="E226" s="9">
        <f t="shared" si="220"/>
        <v>1</v>
      </c>
      <c r="F226" s="9">
        <f t="shared" si="220"/>
        <v>1</v>
      </c>
      <c r="G226" s="9">
        <f t="shared" si="220"/>
        <v>4</v>
      </c>
      <c r="H226" s="9">
        <f t="shared" si="220"/>
        <v>680</v>
      </c>
      <c r="I226" s="9">
        <f t="shared" si="220"/>
        <v>0.8</v>
      </c>
      <c r="J226" s="9">
        <f t="shared" si="220"/>
        <v>0.79853200000000002</v>
      </c>
      <c r="K226" s="9">
        <f t="shared" si="220"/>
        <v>0.79853200000000002</v>
      </c>
      <c r="O226" t="s">
        <v>22</v>
      </c>
      <c r="AB226" t="s">
        <v>25</v>
      </c>
      <c r="AC226">
        <v>60</v>
      </c>
      <c r="AD226">
        <v>0.8</v>
      </c>
      <c r="AE226" s="5">
        <v>0.68206100000000003</v>
      </c>
      <c r="AF226" s="14">
        <v>1</v>
      </c>
      <c r="AG226" s="14">
        <v>4</v>
      </c>
      <c r="AH226" s="14">
        <v>1</v>
      </c>
      <c r="AI226" s="14">
        <v>680</v>
      </c>
      <c r="AJ226" s="5">
        <v>0.25714300000000001</v>
      </c>
      <c r="AK226" s="5">
        <v>0.25447199999999998</v>
      </c>
      <c r="AL226" s="5">
        <v>0.19911899999999999</v>
      </c>
    </row>
    <row r="227" spans="1:38" x14ac:dyDescent="0.25">
      <c r="A227" t="s">
        <v>21</v>
      </c>
      <c r="B227">
        <v>80</v>
      </c>
      <c r="C227">
        <v>0.7</v>
      </c>
      <c r="D227" s="9">
        <f t="shared" ref="D227:K227" si="221">AE243</f>
        <v>0.671095</v>
      </c>
      <c r="E227" s="9">
        <f t="shared" si="221"/>
        <v>1</v>
      </c>
      <c r="F227" s="9">
        <f t="shared" si="221"/>
        <v>3</v>
      </c>
      <c r="G227" s="9">
        <f t="shared" si="221"/>
        <v>2</v>
      </c>
      <c r="H227" s="9">
        <f t="shared" si="221"/>
        <v>680</v>
      </c>
      <c r="I227" s="9">
        <f t="shared" si="221"/>
        <v>0.5</v>
      </c>
      <c r="J227" s="9">
        <f t="shared" si="221"/>
        <v>0.49725200000000003</v>
      </c>
      <c r="K227" s="9">
        <f t="shared" si="221"/>
        <v>0.398532</v>
      </c>
      <c r="AB227" t="s">
        <v>25</v>
      </c>
      <c r="AC227">
        <v>60</v>
      </c>
      <c r="AD227">
        <v>0.9</v>
      </c>
      <c r="AE227" s="5">
        <v>0.68206100000000003</v>
      </c>
      <c r="AF227" s="14">
        <v>0.6</v>
      </c>
      <c r="AG227" s="14">
        <v>5</v>
      </c>
      <c r="AH227" s="14">
        <v>0</v>
      </c>
      <c r="AI227" s="14">
        <v>680.4</v>
      </c>
      <c r="AJ227" s="5">
        <v>0</v>
      </c>
      <c r="AK227" s="5">
        <v>-1.4610000000000001E-3</v>
      </c>
      <c r="AL227" s="5">
        <v>0</v>
      </c>
    </row>
    <row r="228" spans="1:38" x14ac:dyDescent="0.25">
      <c r="A228" t="s">
        <v>21</v>
      </c>
      <c r="B228">
        <v>80</v>
      </c>
      <c r="C228">
        <v>0.8</v>
      </c>
      <c r="D228" s="9">
        <f t="shared" ref="D228:K228" si="222">AE244</f>
        <v>0.671095</v>
      </c>
      <c r="E228" s="9">
        <f t="shared" si="222"/>
        <v>1</v>
      </c>
      <c r="F228" s="9">
        <f t="shared" si="222"/>
        <v>5</v>
      </c>
      <c r="G228" s="9">
        <f t="shared" si="222"/>
        <v>0</v>
      </c>
      <c r="H228" s="9">
        <f t="shared" si="222"/>
        <v>680</v>
      </c>
      <c r="I228" s="9">
        <f t="shared" si="222"/>
        <v>0</v>
      </c>
      <c r="J228" s="9">
        <f t="shared" si="222"/>
        <v>-2.4350000000000001E-3</v>
      </c>
      <c r="K228" s="9">
        <f t="shared" si="222"/>
        <v>0</v>
      </c>
      <c r="AB228" t="s">
        <v>25</v>
      </c>
      <c r="AC228">
        <v>70</v>
      </c>
      <c r="AD228">
        <v>0.1</v>
      </c>
      <c r="AE228" s="5">
        <v>0.67721100000000001</v>
      </c>
      <c r="AF228" s="14">
        <v>680.4</v>
      </c>
      <c r="AG228" s="14">
        <v>0</v>
      </c>
      <c r="AH228" s="14">
        <v>5</v>
      </c>
      <c r="AI228" s="14">
        <v>0.6</v>
      </c>
      <c r="AJ228" s="5">
        <v>1.4484E-2</v>
      </c>
      <c r="AK228" s="5">
        <v>1.2999999999999999E-5</v>
      </c>
      <c r="AL228" s="5">
        <v>8.8099999999999995E-4</v>
      </c>
    </row>
    <row r="229" spans="1:38" x14ac:dyDescent="0.25">
      <c r="A229" t="s">
        <v>21</v>
      </c>
      <c r="B229">
        <v>80</v>
      </c>
      <c r="C229">
        <v>0.9</v>
      </c>
      <c r="D229" s="9">
        <f t="shared" ref="D229:K229" si="223">AE245</f>
        <v>0.671095</v>
      </c>
      <c r="E229" s="9">
        <f t="shared" si="223"/>
        <v>0</v>
      </c>
      <c r="F229" s="9">
        <f t="shared" si="223"/>
        <v>5</v>
      </c>
      <c r="G229" s="9">
        <f t="shared" si="223"/>
        <v>0</v>
      </c>
      <c r="H229" s="9">
        <f t="shared" si="223"/>
        <v>681</v>
      </c>
      <c r="I229" s="9">
        <f t="shared" si="223"/>
        <v>0</v>
      </c>
      <c r="J229" s="9">
        <f t="shared" si="223"/>
        <v>0</v>
      </c>
      <c r="K229" s="9">
        <f t="shared" si="223"/>
        <v>0</v>
      </c>
      <c r="AB229" t="s">
        <v>25</v>
      </c>
      <c r="AC229">
        <v>70</v>
      </c>
      <c r="AD229">
        <v>0.2</v>
      </c>
      <c r="AE229" s="5">
        <v>0.67721100000000001</v>
      </c>
      <c r="AF229" s="14">
        <v>17.399999999999999</v>
      </c>
      <c r="AG229" s="14">
        <v>0</v>
      </c>
      <c r="AH229" s="14">
        <v>5</v>
      </c>
      <c r="AI229" s="14">
        <v>663.6</v>
      </c>
      <c r="AJ229" s="5">
        <v>0.36507899999999999</v>
      </c>
      <c r="AK229" s="5">
        <v>0.35742200000000002</v>
      </c>
      <c r="AL229" s="5">
        <v>0.97444900000000001</v>
      </c>
    </row>
    <row r="230" spans="1:38" x14ac:dyDescent="0.25">
      <c r="AB230" t="s">
        <v>25</v>
      </c>
      <c r="AC230">
        <v>70</v>
      </c>
      <c r="AD230">
        <v>0.3</v>
      </c>
      <c r="AE230" s="5">
        <v>0.67721100000000001</v>
      </c>
      <c r="AF230" s="14">
        <v>11.2</v>
      </c>
      <c r="AG230" s="14">
        <v>0</v>
      </c>
      <c r="AH230" s="14">
        <v>5</v>
      </c>
      <c r="AI230" s="14">
        <v>669.8</v>
      </c>
      <c r="AJ230" s="5">
        <v>0.47186099999999997</v>
      </c>
      <c r="AK230" s="5">
        <v>0.46591199999999999</v>
      </c>
      <c r="AL230" s="5">
        <v>0.98355400000000004</v>
      </c>
    </row>
    <row r="231" spans="1:38" x14ac:dyDescent="0.25">
      <c r="AB231" t="s">
        <v>25</v>
      </c>
      <c r="AC231">
        <v>70</v>
      </c>
      <c r="AD231">
        <v>0.4</v>
      </c>
      <c r="AE231" s="5">
        <v>0.67721100000000001</v>
      </c>
      <c r="AF231" s="14">
        <v>4</v>
      </c>
      <c r="AG231" s="14">
        <v>1</v>
      </c>
      <c r="AH231" s="14">
        <v>4</v>
      </c>
      <c r="AI231" s="14">
        <v>677</v>
      </c>
      <c r="AJ231" s="5">
        <v>0.61538499999999996</v>
      </c>
      <c r="AK231" s="5">
        <v>0.61190299999999997</v>
      </c>
      <c r="AL231" s="5">
        <v>0.794126</v>
      </c>
    </row>
    <row r="232" spans="1:38" x14ac:dyDescent="0.25"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s="5" t="s">
        <v>0</v>
      </c>
      <c r="J232" t="s">
        <v>0</v>
      </c>
      <c r="K232" t="s">
        <v>0</v>
      </c>
      <c r="AB232" t="s">
        <v>25</v>
      </c>
      <c r="AC232">
        <v>70</v>
      </c>
      <c r="AD232">
        <v>0.5</v>
      </c>
      <c r="AE232" s="5">
        <v>0.67721100000000001</v>
      </c>
      <c r="AF232" s="14">
        <v>3</v>
      </c>
      <c r="AG232" s="14">
        <v>1</v>
      </c>
      <c r="AH232" s="14">
        <v>4</v>
      </c>
      <c r="AI232" s="14">
        <v>678</v>
      </c>
      <c r="AJ232" s="5">
        <v>0.66666700000000001</v>
      </c>
      <c r="AK232" s="5">
        <v>0.66380799999999995</v>
      </c>
      <c r="AL232" s="5">
        <v>0.79559500000000005</v>
      </c>
    </row>
    <row r="233" spans="1:38" x14ac:dyDescent="0.25">
      <c r="A233" t="s">
        <v>1</v>
      </c>
      <c r="B233" t="s">
        <v>2</v>
      </c>
      <c r="C233" t="s">
        <v>13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s="5" t="s">
        <v>8</v>
      </c>
      <c r="J233" t="s">
        <v>9</v>
      </c>
      <c r="K233" t="s">
        <v>10</v>
      </c>
      <c r="AB233" t="s">
        <v>25</v>
      </c>
      <c r="AC233">
        <v>70</v>
      </c>
      <c r="AD233">
        <v>0.6</v>
      </c>
      <c r="AE233" s="5">
        <v>0.67721100000000001</v>
      </c>
      <c r="AF233" s="14">
        <v>1</v>
      </c>
      <c r="AG233" s="14">
        <v>1</v>
      </c>
      <c r="AH233" s="14">
        <v>4</v>
      </c>
      <c r="AI233" s="14">
        <v>680</v>
      </c>
      <c r="AJ233" s="5">
        <v>0.8</v>
      </c>
      <c r="AK233" s="5">
        <v>0.79853200000000002</v>
      </c>
      <c r="AL233" s="5">
        <v>0.79853200000000002</v>
      </c>
    </row>
    <row r="234" spans="1:38" x14ac:dyDescent="0.25">
      <c r="A234" t="s">
        <v>21</v>
      </c>
      <c r="B234">
        <v>90</v>
      </c>
      <c r="C234">
        <v>0.1</v>
      </c>
      <c r="D234" s="9">
        <f t="shared" ref="D234:K234" si="224">AE246</f>
        <v>0.67346499999999998</v>
      </c>
      <c r="E234" s="9">
        <f t="shared" si="224"/>
        <v>681</v>
      </c>
      <c r="F234" s="9">
        <f t="shared" si="224"/>
        <v>0</v>
      </c>
      <c r="G234" s="9">
        <f t="shared" si="224"/>
        <v>5</v>
      </c>
      <c r="H234" s="9">
        <f t="shared" si="224"/>
        <v>0</v>
      </c>
      <c r="I234" s="9">
        <f t="shared" si="224"/>
        <v>1.4472E-2</v>
      </c>
      <c r="J234" s="9">
        <f t="shared" si="224"/>
        <v>0</v>
      </c>
      <c r="K234" s="9">
        <f t="shared" si="224"/>
        <v>0</v>
      </c>
      <c r="AB234" t="s">
        <v>25</v>
      </c>
      <c r="AC234">
        <v>70</v>
      </c>
      <c r="AD234">
        <v>0.7</v>
      </c>
      <c r="AE234" s="5">
        <v>0.67721100000000001</v>
      </c>
      <c r="AF234" s="14">
        <v>1</v>
      </c>
      <c r="AG234" s="14">
        <v>3</v>
      </c>
      <c r="AH234" s="14">
        <v>2</v>
      </c>
      <c r="AI234" s="14">
        <v>680</v>
      </c>
      <c r="AJ234" s="5">
        <v>0.5</v>
      </c>
      <c r="AK234" s="5">
        <v>0.49725200000000003</v>
      </c>
      <c r="AL234" s="5">
        <v>0.398532</v>
      </c>
    </row>
    <row r="235" spans="1:38" x14ac:dyDescent="0.25">
      <c r="A235" t="s">
        <v>21</v>
      </c>
      <c r="B235">
        <v>90</v>
      </c>
      <c r="C235">
        <v>0.2</v>
      </c>
      <c r="D235" s="9">
        <f t="shared" ref="D235:K235" si="225">AE247</f>
        <v>0.67346499999999998</v>
      </c>
      <c r="E235" s="9">
        <f t="shared" si="225"/>
        <v>317</v>
      </c>
      <c r="F235" s="9">
        <f t="shared" si="225"/>
        <v>0</v>
      </c>
      <c r="G235" s="9">
        <f t="shared" si="225"/>
        <v>5</v>
      </c>
      <c r="H235" s="9">
        <f t="shared" si="225"/>
        <v>364</v>
      </c>
      <c r="I235" s="9">
        <f t="shared" si="225"/>
        <v>9.8437999999999998E-2</v>
      </c>
      <c r="J235" s="9">
        <f t="shared" si="225"/>
        <v>8.5696999999999995E-2</v>
      </c>
      <c r="K235" s="9">
        <f t="shared" si="225"/>
        <v>0.53450799999999998</v>
      </c>
      <c r="AB235" t="s">
        <v>25</v>
      </c>
      <c r="AC235">
        <v>70</v>
      </c>
      <c r="AD235">
        <v>0.8</v>
      </c>
      <c r="AE235" s="5">
        <v>0.67721100000000001</v>
      </c>
      <c r="AF235" s="14">
        <v>1</v>
      </c>
      <c r="AG235" s="14">
        <v>4.5999999999999996</v>
      </c>
      <c r="AH235" s="14">
        <v>0.4</v>
      </c>
      <c r="AI235" s="14">
        <v>680</v>
      </c>
      <c r="AJ235" s="5">
        <v>0.114286</v>
      </c>
      <c r="AK235" s="5">
        <v>0.11162900000000001</v>
      </c>
      <c r="AL235" s="5">
        <v>7.9412999999999997E-2</v>
      </c>
    </row>
    <row r="236" spans="1:38" x14ac:dyDescent="0.25">
      <c r="A236" t="s">
        <v>21</v>
      </c>
      <c r="B236">
        <v>90</v>
      </c>
      <c r="C236">
        <v>0.3</v>
      </c>
      <c r="D236" s="9">
        <f t="shared" ref="D236:K236" si="226">AE248</f>
        <v>0.67346499999999998</v>
      </c>
      <c r="E236" s="9">
        <f t="shared" si="226"/>
        <v>15.8</v>
      </c>
      <c r="F236" s="9">
        <f t="shared" si="226"/>
        <v>0</v>
      </c>
      <c r="G236" s="9">
        <f t="shared" si="226"/>
        <v>5</v>
      </c>
      <c r="H236" s="9">
        <f t="shared" si="226"/>
        <v>665.2</v>
      </c>
      <c r="I236" s="9">
        <f t="shared" si="226"/>
        <v>0.38835199999999997</v>
      </c>
      <c r="J236" s="9">
        <f t="shared" si="226"/>
        <v>0.381079</v>
      </c>
      <c r="K236" s="9">
        <f t="shared" si="226"/>
        <v>0.97679899999999997</v>
      </c>
      <c r="AB236" t="s">
        <v>25</v>
      </c>
      <c r="AC236">
        <v>70</v>
      </c>
      <c r="AD236">
        <v>0.9</v>
      </c>
      <c r="AE236" s="5">
        <v>0.67721100000000001</v>
      </c>
      <c r="AF236" s="14">
        <v>0.4</v>
      </c>
      <c r="AG236" s="14">
        <v>5</v>
      </c>
      <c r="AH236" s="14">
        <v>0</v>
      </c>
      <c r="AI236" s="14">
        <v>680.6</v>
      </c>
      <c r="AJ236" s="5">
        <v>0</v>
      </c>
      <c r="AK236" s="5">
        <v>-9.7400000000000004E-4</v>
      </c>
      <c r="AL236" s="5">
        <v>0</v>
      </c>
    </row>
    <row r="237" spans="1:38" x14ac:dyDescent="0.25">
      <c r="A237" t="s">
        <v>21</v>
      </c>
      <c r="B237">
        <v>90</v>
      </c>
      <c r="C237">
        <v>0.4</v>
      </c>
      <c r="D237" s="9">
        <f t="shared" ref="D237:K237" si="227">AE249</f>
        <v>0.67346499999999998</v>
      </c>
      <c r="E237" s="9">
        <f t="shared" si="227"/>
        <v>6.2</v>
      </c>
      <c r="F237" s="9">
        <f t="shared" si="227"/>
        <v>0.4</v>
      </c>
      <c r="G237" s="9">
        <f t="shared" si="227"/>
        <v>4.5999999999999996</v>
      </c>
      <c r="H237" s="9">
        <f t="shared" si="227"/>
        <v>674.8</v>
      </c>
      <c r="I237" s="9">
        <f t="shared" si="227"/>
        <v>0.58151299999999995</v>
      </c>
      <c r="J237" s="9">
        <f t="shared" si="227"/>
        <v>0.577322</v>
      </c>
      <c r="K237" s="9">
        <f t="shared" si="227"/>
        <v>0.91089600000000004</v>
      </c>
      <c r="AB237" t="s">
        <v>25</v>
      </c>
      <c r="AC237">
        <v>80</v>
      </c>
      <c r="AD237">
        <v>0.1</v>
      </c>
      <c r="AE237" s="5">
        <v>0.671095</v>
      </c>
      <c r="AF237" s="14">
        <v>681</v>
      </c>
      <c r="AG237" s="14">
        <v>0</v>
      </c>
      <c r="AH237" s="14">
        <v>5</v>
      </c>
      <c r="AI237" s="14">
        <v>0</v>
      </c>
      <c r="AJ237" s="5">
        <v>1.4472E-2</v>
      </c>
      <c r="AK237" s="5">
        <v>0</v>
      </c>
      <c r="AL237" s="5">
        <v>0</v>
      </c>
    </row>
    <row r="238" spans="1:38" x14ac:dyDescent="0.25">
      <c r="A238" s="4" t="s">
        <v>21</v>
      </c>
      <c r="B238" s="4">
        <v>90</v>
      </c>
      <c r="C238" s="4">
        <v>0.5</v>
      </c>
      <c r="D238" s="10">
        <f t="shared" ref="D238:K238" si="228">AE250</f>
        <v>0.67346499999999998</v>
      </c>
      <c r="E238" s="10">
        <f t="shared" si="228"/>
        <v>3</v>
      </c>
      <c r="F238" s="10">
        <f t="shared" si="228"/>
        <v>1</v>
      </c>
      <c r="G238" s="10">
        <f t="shared" si="228"/>
        <v>4</v>
      </c>
      <c r="H238" s="10">
        <f t="shared" si="228"/>
        <v>678</v>
      </c>
      <c r="I238" s="10">
        <f t="shared" si="228"/>
        <v>0.66666700000000001</v>
      </c>
      <c r="J238" s="10">
        <f t="shared" si="228"/>
        <v>0.66380799999999995</v>
      </c>
      <c r="K238" s="10">
        <f t="shared" si="228"/>
        <v>0.79559500000000005</v>
      </c>
      <c r="AB238" t="s">
        <v>25</v>
      </c>
      <c r="AC238">
        <v>80</v>
      </c>
      <c r="AD238">
        <v>0.2</v>
      </c>
      <c r="AE238" s="5">
        <v>0.671095</v>
      </c>
      <c r="AF238" s="14">
        <v>89</v>
      </c>
      <c r="AG238" s="14">
        <v>0</v>
      </c>
      <c r="AH238" s="14">
        <v>5</v>
      </c>
      <c r="AI238" s="14">
        <v>592</v>
      </c>
      <c r="AJ238" s="5">
        <v>0.27106799999999998</v>
      </c>
      <c r="AK238" s="5">
        <v>0.26164999999999999</v>
      </c>
      <c r="AL238" s="5">
        <v>0.86931000000000003</v>
      </c>
    </row>
    <row r="239" spans="1:38" x14ac:dyDescent="0.25">
      <c r="A239" t="s">
        <v>21</v>
      </c>
      <c r="B239">
        <v>90</v>
      </c>
      <c r="C239">
        <v>0.6</v>
      </c>
      <c r="D239" s="9">
        <f t="shared" ref="D239:K239" si="229">AE251</f>
        <v>0.67346499999999998</v>
      </c>
      <c r="E239" s="9">
        <f t="shared" si="229"/>
        <v>1</v>
      </c>
      <c r="F239" s="9">
        <f t="shared" si="229"/>
        <v>1</v>
      </c>
      <c r="G239" s="9">
        <f t="shared" si="229"/>
        <v>4</v>
      </c>
      <c r="H239" s="9">
        <f t="shared" si="229"/>
        <v>680</v>
      </c>
      <c r="I239" s="9">
        <f t="shared" si="229"/>
        <v>0.8</v>
      </c>
      <c r="J239" s="9">
        <f t="shared" si="229"/>
        <v>0.79853200000000002</v>
      </c>
      <c r="K239" s="9">
        <f t="shared" si="229"/>
        <v>0.79853200000000002</v>
      </c>
      <c r="AB239" t="s">
        <v>25</v>
      </c>
      <c r="AC239">
        <v>80</v>
      </c>
      <c r="AD239">
        <v>0.3</v>
      </c>
      <c r="AE239" s="5">
        <v>0.671095</v>
      </c>
      <c r="AF239" s="14">
        <v>13.2</v>
      </c>
      <c r="AG239" s="14">
        <v>0</v>
      </c>
      <c r="AH239" s="14">
        <v>5</v>
      </c>
      <c r="AI239" s="14">
        <v>667.8</v>
      </c>
      <c r="AJ239" s="5">
        <v>0.43148900000000001</v>
      </c>
      <c r="AK239" s="5">
        <v>0.42491299999999999</v>
      </c>
      <c r="AL239" s="5">
        <v>0.98061699999999996</v>
      </c>
    </row>
    <row r="240" spans="1:38" x14ac:dyDescent="0.25">
      <c r="A240" t="s">
        <v>21</v>
      </c>
      <c r="B240">
        <v>90</v>
      </c>
      <c r="C240">
        <v>0.7</v>
      </c>
      <c r="D240" s="9">
        <f t="shared" ref="D240:K240" si="230">AE252</f>
        <v>0.67346499999999998</v>
      </c>
      <c r="E240" s="9">
        <f t="shared" si="230"/>
        <v>1</v>
      </c>
      <c r="F240" s="9">
        <f t="shared" si="230"/>
        <v>3</v>
      </c>
      <c r="G240" s="9">
        <f t="shared" si="230"/>
        <v>2</v>
      </c>
      <c r="H240" s="9">
        <f t="shared" si="230"/>
        <v>680</v>
      </c>
      <c r="I240" s="9">
        <f t="shared" si="230"/>
        <v>0.5</v>
      </c>
      <c r="J240" s="9">
        <f t="shared" si="230"/>
        <v>0.49725200000000003</v>
      </c>
      <c r="K240" s="9">
        <f t="shared" si="230"/>
        <v>0.398532</v>
      </c>
      <c r="AB240" t="s">
        <v>25</v>
      </c>
      <c r="AC240">
        <v>80</v>
      </c>
      <c r="AD240">
        <v>0.4</v>
      </c>
      <c r="AE240" s="5">
        <v>0.671095</v>
      </c>
      <c r="AF240" s="14">
        <v>5.2</v>
      </c>
      <c r="AG240" s="14">
        <v>0.6</v>
      </c>
      <c r="AH240" s="14">
        <v>4.4000000000000004</v>
      </c>
      <c r="AI240" s="14">
        <v>675.8</v>
      </c>
      <c r="AJ240" s="5">
        <v>0.60119</v>
      </c>
      <c r="AK240" s="5">
        <v>0.59734399999999999</v>
      </c>
      <c r="AL240" s="5">
        <v>0.87236400000000003</v>
      </c>
    </row>
    <row r="241" spans="1:38" x14ac:dyDescent="0.25">
      <c r="A241" t="s">
        <v>21</v>
      </c>
      <c r="B241">
        <v>90</v>
      </c>
      <c r="C241">
        <v>0.8</v>
      </c>
      <c r="D241" s="9">
        <f t="shared" ref="D241:K241" si="231">AE253</f>
        <v>0.67346499999999998</v>
      </c>
      <c r="E241" s="9">
        <f t="shared" si="231"/>
        <v>1</v>
      </c>
      <c r="F241" s="9">
        <f t="shared" si="231"/>
        <v>5</v>
      </c>
      <c r="G241" s="9">
        <f t="shared" si="231"/>
        <v>0</v>
      </c>
      <c r="H241" s="9">
        <f t="shared" si="231"/>
        <v>680</v>
      </c>
      <c r="I241" s="9">
        <f t="shared" si="231"/>
        <v>0</v>
      </c>
      <c r="J241" s="9">
        <f t="shared" si="231"/>
        <v>-2.4350000000000001E-3</v>
      </c>
      <c r="K241" s="9">
        <f t="shared" si="231"/>
        <v>0</v>
      </c>
      <c r="AB241" t="s">
        <v>25</v>
      </c>
      <c r="AC241">
        <v>80</v>
      </c>
      <c r="AD241">
        <v>0.5</v>
      </c>
      <c r="AE241" s="5">
        <v>0.671095</v>
      </c>
      <c r="AF241" s="14">
        <v>3</v>
      </c>
      <c r="AG241" s="14">
        <v>1</v>
      </c>
      <c r="AH241" s="14">
        <v>4</v>
      </c>
      <c r="AI241" s="14">
        <v>678</v>
      </c>
      <c r="AJ241" s="5">
        <v>0.66666700000000001</v>
      </c>
      <c r="AK241" s="5">
        <v>0.66380799999999995</v>
      </c>
      <c r="AL241" s="5">
        <v>0.79559500000000005</v>
      </c>
    </row>
    <row r="242" spans="1:38" x14ac:dyDescent="0.25">
      <c r="A242" t="s">
        <v>21</v>
      </c>
      <c r="B242">
        <v>90</v>
      </c>
      <c r="C242">
        <v>0.9</v>
      </c>
      <c r="D242" s="9">
        <f t="shared" ref="D242:K242" si="232">AE254</f>
        <v>0.67346499999999998</v>
      </c>
      <c r="E242" s="9">
        <f t="shared" si="232"/>
        <v>0</v>
      </c>
      <c r="F242" s="9">
        <f t="shared" si="232"/>
        <v>5</v>
      </c>
      <c r="G242" s="9">
        <f t="shared" si="232"/>
        <v>0</v>
      </c>
      <c r="H242" s="9">
        <f t="shared" si="232"/>
        <v>681</v>
      </c>
      <c r="I242" s="9">
        <f t="shared" si="232"/>
        <v>0</v>
      </c>
      <c r="J242" s="9">
        <f t="shared" si="232"/>
        <v>0</v>
      </c>
      <c r="K242" s="9">
        <f t="shared" si="232"/>
        <v>0</v>
      </c>
      <c r="AB242" t="s">
        <v>25</v>
      </c>
      <c r="AC242">
        <v>80</v>
      </c>
      <c r="AD242">
        <v>0.6</v>
      </c>
      <c r="AE242" s="5">
        <v>0.671095</v>
      </c>
      <c r="AF242" s="14">
        <v>1</v>
      </c>
      <c r="AG242" s="14">
        <v>1</v>
      </c>
      <c r="AH242" s="14">
        <v>4</v>
      </c>
      <c r="AI242" s="14">
        <v>680</v>
      </c>
      <c r="AJ242" s="5">
        <v>0.8</v>
      </c>
      <c r="AK242" s="5">
        <v>0.79853200000000002</v>
      </c>
      <c r="AL242" s="5">
        <v>0.79853200000000002</v>
      </c>
    </row>
    <row r="243" spans="1:38" x14ac:dyDescent="0.25">
      <c r="AB243" t="s">
        <v>25</v>
      </c>
      <c r="AC243">
        <v>80</v>
      </c>
      <c r="AD243">
        <v>0.7</v>
      </c>
      <c r="AE243" s="5">
        <v>0.671095</v>
      </c>
      <c r="AF243" s="14">
        <v>1</v>
      </c>
      <c r="AG243" s="14">
        <v>3</v>
      </c>
      <c r="AH243" s="14">
        <v>2</v>
      </c>
      <c r="AI243" s="14">
        <v>680</v>
      </c>
      <c r="AJ243" s="5">
        <v>0.5</v>
      </c>
      <c r="AK243" s="5">
        <v>0.49725200000000003</v>
      </c>
      <c r="AL243" s="5">
        <v>0.398532</v>
      </c>
    </row>
    <row r="244" spans="1:38" x14ac:dyDescent="0.25">
      <c r="AB244" t="s">
        <v>25</v>
      </c>
      <c r="AC244">
        <v>80</v>
      </c>
      <c r="AD244">
        <v>0.8</v>
      </c>
      <c r="AE244" s="5">
        <v>0.671095</v>
      </c>
      <c r="AF244" s="14">
        <v>1</v>
      </c>
      <c r="AG244" s="14">
        <v>5</v>
      </c>
      <c r="AH244" s="14">
        <v>0</v>
      </c>
      <c r="AI244" s="14">
        <v>680</v>
      </c>
      <c r="AJ244" s="5">
        <v>0</v>
      </c>
      <c r="AK244" s="5">
        <v>-2.4350000000000001E-3</v>
      </c>
      <c r="AL244" s="5">
        <v>0</v>
      </c>
    </row>
    <row r="245" spans="1:38" x14ac:dyDescent="0.25">
      <c r="AB245" t="s">
        <v>25</v>
      </c>
      <c r="AC245">
        <v>80</v>
      </c>
      <c r="AD245">
        <v>0.9</v>
      </c>
      <c r="AE245" s="5">
        <v>0.671095</v>
      </c>
      <c r="AF245" s="14">
        <v>0</v>
      </c>
      <c r="AG245" s="14">
        <v>5</v>
      </c>
      <c r="AH245" s="14">
        <v>0</v>
      </c>
      <c r="AI245" s="14">
        <v>681</v>
      </c>
      <c r="AJ245" s="5">
        <v>0</v>
      </c>
      <c r="AK245" s="5">
        <v>0</v>
      </c>
      <c r="AL245" s="5">
        <v>0</v>
      </c>
    </row>
    <row r="246" spans="1:38" x14ac:dyDescent="0.25">
      <c r="AB246" t="s">
        <v>25</v>
      </c>
      <c r="AC246">
        <v>90</v>
      </c>
      <c r="AD246">
        <v>0.1</v>
      </c>
      <c r="AE246" s="5">
        <v>0.67346499999999998</v>
      </c>
      <c r="AF246" s="14">
        <v>681</v>
      </c>
      <c r="AG246" s="14">
        <v>0</v>
      </c>
      <c r="AH246" s="14">
        <v>5</v>
      </c>
      <c r="AI246" s="14">
        <v>0</v>
      </c>
      <c r="AJ246" s="5">
        <v>1.4472E-2</v>
      </c>
      <c r="AK246" s="5">
        <v>0</v>
      </c>
      <c r="AL246" s="5">
        <v>0</v>
      </c>
    </row>
    <row r="247" spans="1:38" x14ac:dyDescent="0.25">
      <c r="AB247" t="s">
        <v>25</v>
      </c>
      <c r="AC247">
        <v>90</v>
      </c>
      <c r="AD247">
        <v>0.2</v>
      </c>
      <c r="AE247" s="5">
        <v>0.67346499999999998</v>
      </c>
      <c r="AF247" s="14">
        <v>317</v>
      </c>
      <c r="AG247" s="14">
        <v>0</v>
      </c>
      <c r="AH247" s="14">
        <v>5</v>
      </c>
      <c r="AI247" s="14">
        <v>364</v>
      </c>
      <c r="AJ247" s="5">
        <v>9.8437999999999998E-2</v>
      </c>
      <c r="AK247" s="5">
        <v>8.5696999999999995E-2</v>
      </c>
      <c r="AL247" s="5">
        <v>0.53450799999999998</v>
      </c>
    </row>
    <row r="248" spans="1:38" x14ac:dyDescent="0.25">
      <c r="AB248" t="s">
        <v>25</v>
      </c>
      <c r="AC248">
        <v>90</v>
      </c>
      <c r="AD248">
        <v>0.3</v>
      </c>
      <c r="AE248" s="5">
        <v>0.67346499999999998</v>
      </c>
      <c r="AF248" s="14">
        <v>15.8</v>
      </c>
      <c r="AG248" s="14">
        <v>0</v>
      </c>
      <c r="AH248" s="14">
        <v>5</v>
      </c>
      <c r="AI248" s="14">
        <v>665.2</v>
      </c>
      <c r="AJ248" s="5">
        <v>0.38835199999999997</v>
      </c>
      <c r="AK248" s="5">
        <v>0.381079</v>
      </c>
      <c r="AL248" s="5">
        <v>0.97679899999999997</v>
      </c>
    </row>
    <row r="249" spans="1:38" x14ac:dyDescent="0.25">
      <c r="AB249" t="s">
        <v>25</v>
      </c>
      <c r="AC249">
        <v>90</v>
      </c>
      <c r="AD249">
        <v>0.4</v>
      </c>
      <c r="AE249" s="5">
        <v>0.67346499999999998</v>
      </c>
      <c r="AF249" s="14">
        <v>6.2</v>
      </c>
      <c r="AG249" s="14">
        <v>0.4</v>
      </c>
      <c r="AH249" s="14">
        <v>4.5999999999999996</v>
      </c>
      <c r="AI249" s="14">
        <v>674.8</v>
      </c>
      <c r="AJ249" s="5">
        <v>0.58151299999999995</v>
      </c>
      <c r="AK249" s="5">
        <v>0.577322</v>
      </c>
      <c r="AL249" s="5">
        <v>0.91089600000000004</v>
      </c>
    </row>
    <row r="250" spans="1:38" x14ac:dyDescent="0.25">
      <c r="AB250" t="s">
        <v>25</v>
      </c>
      <c r="AC250">
        <v>90</v>
      </c>
      <c r="AD250">
        <v>0.5</v>
      </c>
      <c r="AE250" s="5">
        <v>0.67346499999999998</v>
      </c>
      <c r="AF250" s="14">
        <v>3</v>
      </c>
      <c r="AG250" s="14">
        <v>1</v>
      </c>
      <c r="AH250" s="14">
        <v>4</v>
      </c>
      <c r="AI250" s="14">
        <v>678</v>
      </c>
      <c r="AJ250" s="5">
        <v>0.66666700000000001</v>
      </c>
      <c r="AK250" s="5">
        <v>0.66380799999999995</v>
      </c>
      <c r="AL250" s="5">
        <v>0.79559500000000005</v>
      </c>
    </row>
    <row r="251" spans="1:38" x14ac:dyDescent="0.25">
      <c r="AB251" t="s">
        <v>25</v>
      </c>
      <c r="AC251">
        <v>90</v>
      </c>
      <c r="AD251">
        <v>0.6</v>
      </c>
      <c r="AE251" s="5">
        <v>0.67346499999999998</v>
      </c>
      <c r="AF251" s="14">
        <v>1</v>
      </c>
      <c r="AG251" s="14">
        <v>1</v>
      </c>
      <c r="AH251" s="14">
        <v>4</v>
      </c>
      <c r="AI251" s="14">
        <v>680</v>
      </c>
      <c r="AJ251" s="5">
        <v>0.8</v>
      </c>
      <c r="AK251" s="5">
        <v>0.79853200000000002</v>
      </c>
      <c r="AL251" s="5">
        <v>0.79853200000000002</v>
      </c>
    </row>
    <row r="252" spans="1:38" x14ac:dyDescent="0.25">
      <c r="AB252" t="s">
        <v>25</v>
      </c>
      <c r="AC252">
        <v>90</v>
      </c>
      <c r="AD252">
        <v>0.7</v>
      </c>
      <c r="AE252" s="5">
        <v>0.67346499999999998</v>
      </c>
      <c r="AF252" s="14">
        <v>1</v>
      </c>
      <c r="AG252" s="14">
        <v>3</v>
      </c>
      <c r="AH252" s="14">
        <v>2</v>
      </c>
      <c r="AI252" s="14">
        <v>680</v>
      </c>
      <c r="AJ252" s="5">
        <v>0.5</v>
      </c>
      <c r="AK252" s="5">
        <v>0.49725200000000003</v>
      </c>
      <c r="AL252" s="5">
        <v>0.398532</v>
      </c>
    </row>
    <row r="253" spans="1:38" x14ac:dyDescent="0.25">
      <c r="AB253" t="s">
        <v>25</v>
      </c>
      <c r="AC253">
        <v>90</v>
      </c>
      <c r="AD253">
        <v>0.8</v>
      </c>
      <c r="AE253" s="5">
        <v>0.67346499999999998</v>
      </c>
      <c r="AF253" s="14">
        <v>1</v>
      </c>
      <c r="AG253" s="14">
        <v>5</v>
      </c>
      <c r="AH253" s="14">
        <v>0</v>
      </c>
      <c r="AI253" s="14">
        <v>680</v>
      </c>
      <c r="AJ253" s="5">
        <v>0</v>
      </c>
      <c r="AK253" s="5">
        <v>-2.4350000000000001E-3</v>
      </c>
      <c r="AL253" s="5">
        <v>0</v>
      </c>
    </row>
    <row r="254" spans="1:38" x14ac:dyDescent="0.25">
      <c r="AB254" t="s">
        <v>25</v>
      </c>
      <c r="AC254">
        <v>90</v>
      </c>
      <c r="AD254">
        <v>0.9</v>
      </c>
      <c r="AE254" s="5">
        <v>0.67346499999999998</v>
      </c>
      <c r="AF254" s="14">
        <v>0</v>
      </c>
      <c r="AG254" s="14">
        <v>5</v>
      </c>
      <c r="AH254" s="14">
        <v>0</v>
      </c>
      <c r="AI254" s="14">
        <v>681</v>
      </c>
      <c r="AJ254" s="5">
        <v>0</v>
      </c>
      <c r="AK254" s="5">
        <v>0</v>
      </c>
      <c r="AL254" s="5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AEA3-40AB-4BFC-B9F5-E612DEF1465F}">
  <dimension ref="A1:P29"/>
  <sheetViews>
    <sheetView zoomScale="130" zoomScaleNormal="130" workbookViewId="0">
      <selection activeCell="G21" sqref="G21:O21"/>
    </sheetView>
  </sheetViews>
  <sheetFormatPr defaultRowHeight="15" x14ac:dyDescent="0.25"/>
  <cols>
    <col min="2" max="2" width="9" customWidth="1"/>
  </cols>
  <sheetData>
    <row r="1" spans="1:16" x14ac:dyDescent="0.25">
      <c r="B1" t="s">
        <v>26</v>
      </c>
      <c r="D1" s="5" t="s">
        <v>8</v>
      </c>
    </row>
    <row r="2" spans="1:16" x14ac:dyDescent="0.25">
      <c r="A2" t="s">
        <v>23</v>
      </c>
      <c r="B2">
        <v>0</v>
      </c>
      <c r="C2">
        <v>0.5</v>
      </c>
      <c r="D2" s="5">
        <v>0</v>
      </c>
      <c r="G2" s="5">
        <v>0</v>
      </c>
      <c r="H2" s="5">
        <v>0.30896600000000002</v>
      </c>
      <c r="I2" s="5">
        <v>0.598333</v>
      </c>
      <c r="J2" s="5">
        <v>0.58698799999999995</v>
      </c>
      <c r="K2" s="5">
        <v>0.49683300000000002</v>
      </c>
      <c r="L2" s="5">
        <v>0.46296900000000002</v>
      </c>
      <c r="M2" s="5">
        <v>0.44092900000000002</v>
      </c>
      <c r="N2" s="5">
        <v>0.30009200000000003</v>
      </c>
      <c r="O2" s="5">
        <v>0.19606699999999999</v>
      </c>
      <c r="P2" s="5">
        <v>0.13094500000000001</v>
      </c>
    </row>
    <row r="3" spans="1:16" x14ac:dyDescent="0.25">
      <c r="A3" t="s">
        <v>23</v>
      </c>
      <c r="B3">
        <v>10</v>
      </c>
      <c r="C3">
        <v>0.2</v>
      </c>
      <c r="D3" s="5">
        <v>0.30896600000000002</v>
      </c>
    </row>
    <row r="4" spans="1:16" x14ac:dyDescent="0.25">
      <c r="A4" t="s">
        <v>23</v>
      </c>
      <c r="B4">
        <v>20</v>
      </c>
      <c r="C4">
        <v>0.4</v>
      </c>
      <c r="D4" s="5">
        <v>0.598333</v>
      </c>
    </row>
    <row r="5" spans="1:16" x14ac:dyDescent="0.25">
      <c r="A5" t="s">
        <v>23</v>
      </c>
      <c r="B5">
        <v>30</v>
      </c>
      <c r="C5">
        <v>0.4</v>
      </c>
      <c r="D5" s="5">
        <v>0.58698799999999995</v>
      </c>
    </row>
    <row r="6" spans="1:16" x14ac:dyDescent="0.25">
      <c r="A6" t="s">
        <v>23</v>
      </c>
      <c r="B6">
        <v>40</v>
      </c>
      <c r="C6">
        <v>0.4</v>
      </c>
      <c r="D6" s="5">
        <v>0.49683300000000002</v>
      </c>
    </row>
    <row r="7" spans="1:16" x14ac:dyDescent="0.25">
      <c r="A7" t="s">
        <v>23</v>
      </c>
      <c r="B7">
        <v>50</v>
      </c>
      <c r="C7">
        <v>0.5</v>
      </c>
      <c r="D7" s="5">
        <v>0.46296900000000002</v>
      </c>
    </row>
    <row r="8" spans="1:16" x14ac:dyDescent="0.25">
      <c r="A8" t="s">
        <v>23</v>
      </c>
      <c r="B8">
        <v>60</v>
      </c>
      <c r="C8">
        <v>0.5</v>
      </c>
      <c r="D8" s="5">
        <v>0.44092900000000002</v>
      </c>
    </row>
    <row r="9" spans="1:16" x14ac:dyDescent="0.25">
      <c r="A9" t="s">
        <v>23</v>
      </c>
      <c r="B9">
        <v>70</v>
      </c>
      <c r="C9">
        <v>0.4</v>
      </c>
      <c r="D9" s="5">
        <v>0.30009200000000003</v>
      </c>
    </row>
    <row r="10" spans="1:16" x14ac:dyDescent="0.25">
      <c r="A10" t="s">
        <v>23</v>
      </c>
      <c r="B10">
        <v>80</v>
      </c>
      <c r="C10">
        <v>0.4</v>
      </c>
      <c r="D10" s="5">
        <v>0.19606699999999999</v>
      </c>
    </row>
    <row r="11" spans="1:16" x14ac:dyDescent="0.25">
      <c r="A11" t="s">
        <v>23</v>
      </c>
      <c r="B11">
        <v>90</v>
      </c>
      <c r="C11">
        <v>0.5</v>
      </c>
      <c r="D11" s="5">
        <v>0.13094500000000001</v>
      </c>
    </row>
    <row r="12" spans="1:16" x14ac:dyDescent="0.25">
      <c r="A12" t="s">
        <v>24</v>
      </c>
      <c r="B12">
        <v>10</v>
      </c>
      <c r="C12">
        <v>0.2</v>
      </c>
      <c r="D12" s="5">
        <v>0.46314699999999998</v>
      </c>
      <c r="G12" s="5">
        <v>0.46314699999999998</v>
      </c>
      <c r="H12" s="5">
        <v>0.46727099999999999</v>
      </c>
      <c r="I12" s="5">
        <v>0.57142899999999996</v>
      </c>
      <c r="J12" s="5">
        <v>0.54095199999999999</v>
      </c>
      <c r="K12" s="5">
        <v>0.49754399999999999</v>
      </c>
      <c r="L12" s="5">
        <v>0.64069299999999996</v>
      </c>
      <c r="M12" s="5">
        <v>0.57142899999999996</v>
      </c>
      <c r="N12" s="5">
        <v>0.56381000000000003</v>
      </c>
      <c r="O12" s="5">
        <v>0.56381000000000003</v>
      </c>
    </row>
    <row r="13" spans="1:16" x14ac:dyDescent="0.25">
      <c r="A13" t="s">
        <v>24</v>
      </c>
      <c r="B13">
        <v>20</v>
      </c>
      <c r="C13">
        <v>0.3</v>
      </c>
      <c r="D13" s="5">
        <v>0.46727099999999999</v>
      </c>
    </row>
    <row r="14" spans="1:16" x14ac:dyDescent="0.25">
      <c r="A14" t="s">
        <v>24</v>
      </c>
      <c r="B14">
        <v>30</v>
      </c>
      <c r="C14">
        <v>0.5</v>
      </c>
      <c r="D14" s="5">
        <v>0.57142899999999996</v>
      </c>
    </row>
    <row r="15" spans="1:16" x14ac:dyDescent="0.25">
      <c r="A15" t="s">
        <v>24</v>
      </c>
      <c r="B15">
        <v>40</v>
      </c>
      <c r="C15">
        <v>0.5</v>
      </c>
      <c r="D15" s="5">
        <v>0.54095199999999999</v>
      </c>
    </row>
    <row r="16" spans="1:16" x14ac:dyDescent="0.25">
      <c r="A16" t="s">
        <v>24</v>
      </c>
      <c r="B16">
        <v>50</v>
      </c>
      <c r="C16">
        <v>0.5</v>
      </c>
      <c r="D16" s="5">
        <v>0.49754399999999999</v>
      </c>
    </row>
    <row r="17" spans="1:15" x14ac:dyDescent="0.25">
      <c r="A17" t="s">
        <v>24</v>
      </c>
      <c r="B17">
        <v>60</v>
      </c>
      <c r="C17">
        <v>0.6</v>
      </c>
      <c r="D17" s="5">
        <v>0.64069299999999996</v>
      </c>
    </row>
    <row r="18" spans="1:15" x14ac:dyDescent="0.25">
      <c r="A18" t="s">
        <v>24</v>
      </c>
      <c r="B18">
        <v>70</v>
      </c>
      <c r="C18">
        <v>0.6</v>
      </c>
      <c r="D18" s="5">
        <v>0.57142899999999996</v>
      </c>
    </row>
    <row r="19" spans="1:15" x14ac:dyDescent="0.25">
      <c r="A19" t="s">
        <v>24</v>
      </c>
      <c r="B19">
        <v>80</v>
      </c>
      <c r="C19">
        <v>0.6</v>
      </c>
      <c r="D19" s="5">
        <v>0.56381000000000003</v>
      </c>
    </row>
    <row r="20" spans="1:15" x14ac:dyDescent="0.25">
      <c r="A20" t="s">
        <v>24</v>
      </c>
      <c r="B20">
        <v>90</v>
      </c>
      <c r="C20">
        <v>0.6</v>
      </c>
      <c r="D20" s="5">
        <v>0.56381000000000003</v>
      </c>
    </row>
    <row r="21" spans="1:15" x14ac:dyDescent="0.25">
      <c r="A21" t="s">
        <v>25</v>
      </c>
      <c r="B21">
        <v>10</v>
      </c>
      <c r="C21">
        <v>0.1</v>
      </c>
      <c r="D21" s="5">
        <v>0.49593100000000001</v>
      </c>
      <c r="G21" s="5">
        <v>0.49593100000000001</v>
      </c>
      <c r="H21" s="5">
        <v>0.62229000000000001</v>
      </c>
      <c r="I21" s="5">
        <v>0.71757599999999999</v>
      </c>
      <c r="J21" s="5">
        <v>0.75636400000000004</v>
      </c>
      <c r="K21" s="5">
        <v>0.75636400000000004</v>
      </c>
      <c r="L21" s="5">
        <v>0.77090899999999996</v>
      </c>
      <c r="M21" s="5">
        <v>0.8</v>
      </c>
      <c r="N21" s="5">
        <v>0.8</v>
      </c>
      <c r="O21" s="5">
        <v>0.8</v>
      </c>
    </row>
    <row r="22" spans="1:15" x14ac:dyDescent="0.25">
      <c r="A22" t="s">
        <v>25</v>
      </c>
      <c r="B22">
        <v>20</v>
      </c>
      <c r="C22">
        <v>0.2</v>
      </c>
      <c r="D22" s="5">
        <v>0.62229000000000001</v>
      </c>
    </row>
    <row r="23" spans="1:15" x14ac:dyDescent="0.25">
      <c r="A23" t="s">
        <v>25</v>
      </c>
      <c r="B23">
        <v>30</v>
      </c>
      <c r="C23">
        <v>0.6</v>
      </c>
      <c r="D23" s="5">
        <v>0.71757599999999999</v>
      </c>
    </row>
    <row r="24" spans="1:15" x14ac:dyDescent="0.25">
      <c r="A24" t="s">
        <v>25</v>
      </c>
      <c r="B24">
        <v>40</v>
      </c>
      <c r="C24">
        <v>0.6</v>
      </c>
      <c r="D24" s="5">
        <v>0.75636400000000004</v>
      </c>
    </row>
    <row r="25" spans="1:15" x14ac:dyDescent="0.25">
      <c r="A25" t="s">
        <v>25</v>
      </c>
      <c r="B25">
        <v>50</v>
      </c>
      <c r="C25">
        <v>0.6</v>
      </c>
      <c r="D25" s="5">
        <v>0.75636400000000004</v>
      </c>
    </row>
    <row r="26" spans="1:15" x14ac:dyDescent="0.25">
      <c r="A26" t="s">
        <v>25</v>
      </c>
      <c r="B26">
        <v>60</v>
      </c>
      <c r="C26">
        <v>0.6</v>
      </c>
      <c r="D26" s="5">
        <v>0.77090899999999996</v>
      </c>
    </row>
    <row r="27" spans="1:15" x14ac:dyDescent="0.25">
      <c r="A27" t="s">
        <v>25</v>
      </c>
      <c r="B27">
        <v>70</v>
      </c>
      <c r="C27">
        <v>0.6</v>
      </c>
      <c r="D27" s="5">
        <v>0.8</v>
      </c>
    </row>
    <row r="28" spans="1:15" x14ac:dyDescent="0.25">
      <c r="A28" t="s">
        <v>25</v>
      </c>
      <c r="B28">
        <v>80</v>
      </c>
      <c r="C28">
        <v>0.6</v>
      </c>
      <c r="D28" s="5">
        <v>0.8</v>
      </c>
    </row>
    <row r="29" spans="1:15" x14ac:dyDescent="0.25">
      <c r="A29" t="s">
        <v>25</v>
      </c>
      <c r="B29">
        <v>90</v>
      </c>
      <c r="C29">
        <v>0.6</v>
      </c>
      <c r="D29" s="5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8359-F41E-4ACA-BB1B-D32BBF45D9C1}">
  <dimension ref="L2:AO20"/>
  <sheetViews>
    <sheetView zoomScaleNormal="100" workbookViewId="0">
      <selection activeCell="N2" sqref="N2"/>
    </sheetView>
  </sheetViews>
  <sheetFormatPr defaultRowHeight="15" x14ac:dyDescent="0.25"/>
  <cols>
    <col min="16" max="17" width="16.42578125" bestFit="1" customWidth="1"/>
    <col min="18" max="18" width="12.42578125" bestFit="1" customWidth="1"/>
    <col min="39" max="39" width="25.5703125" bestFit="1" customWidth="1"/>
  </cols>
  <sheetData>
    <row r="2" spans="12:41" x14ac:dyDescent="0.25">
      <c r="N2" s="3"/>
    </row>
    <row r="4" spans="12:41" x14ac:dyDescent="0.25">
      <c r="L4" t="s">
        <v>14</v>
      </c>
    </row>
    <row r="5" spans="12:41" x14ac:dyDescent="0.25">
      <c r="M5" t="s">
        <v>15</v>
      </c>
    </row>
    <row r="6" spans="12:41" x14ac:dyDescent="0.25">
      <c r="M6" t="s">
        <v>18</v>
      </c>
      <c r="P6" s="2"/>
      <c r="Q6" s="2"/>
      <c r="AO6" s="1"/>
    </row>
    <row r="7" spans="12:41" x14ac:dyDescent="0.25">
      <c r="AL7" s="1"/>
    </row>
    <row r="8" spans="12:41" x14ac:dyDescent="0.25">
      <c r="M8" t="s">
        <v>16</v>
      </c>
    </row>
    <row r="9" spans="12:41" x14ac:dyDescent="0.25">
      <c r="M9" t="s">
        <v>19</v>
      </c>
      <c r="P9" s="2"/>
      <c r="Q9" s="2"/>
      <c r="AG9" s="1"/>
      <c r="AJ9" s="1"/>
    </row>
    <row r="10" spans="12:41" x14ac:dyDescent="0.25">
      <c r="P10" s="2"/>
      <c r="Q10" s="2"/>
      <c r="AJ10" s="1"/>
    </row>
    <row r="11" spans="12:41" x14ac:dyDescent="0.25">
      <c r="P11" s="2"/>
      <c r="Q11" s="2"/>
      <c r="AJ11" s="1"/>
    </row>
    <row r="12" spans="12:41" x14ac:dyDescent="0.25">
      <c r="AH12" s="1"/>
    </row>
    <row r="13" spans="12:41" x14ac:dyDescent="0.25">
      <c r="AH13" s="1"/>
    </row>
    <row r="14" spans="12:41" x14ac:dyDescent="0.25">
      <c r="AE14" s="1"/>
      <c r="AH14" s="1"/>
    </row>
    <row r="15" spans="12:41" x14ac:dyDescent="0.25">
      <c r="L15" t="s">
        <v>5</v>
      </c>
    </row>
    <row r="16" spans="12:41" x14ac:dyDescent="0.25">
      <c r="M16" t="s">
        <v>20</v>
      </c>
      <c r="P16" s="2"/>
      <c r="Q16" s="2"/>
      <c r="AO16" s="1"/>
    </row>
    <row r="17" spans="16:41" x14ac:dyDescent="0.25">
      <c r="P17" s="2"/>
      <c r="Q17" s="2"/>
      <c r="AO17" s="1"/>
    </row>
    <row r="19" spans="16:41" x14ac:dyDescent="0.25">
      <c r="AH19" s="1"/>
    </row>
    <row r="20" spans="16:41" x14ac:dyDescent="0.25">
      <c r="AH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3AFC-0041-4F3F-9DAB-30B067552065}">
  <dimension ref="L3:AO14"/>
  <sheetViews>
    <sheetView zoomScale="115" zoomScaleNormal="115" workbookViewId="0">
      <selection activeCell="O3" sqref="O3"/>
    </sheetView>
  </sheetViews>
  <sheetFormatPr defaultRowHeight="15" x14ac:dyDescent="0.25"/>
  <cols>
    <col min="16" max="17" width="14.85546875" bestFit="1" customWidth="1"/>
  </cols>
  <sheetData>
    <row r="3" spans="12:41" x14ac:dyDescent="0.25">
      <c r="N3" s="3"/>
    </row>
    <row r="4" spans="12:41" x14ac:dyDescent="0.25">
      <c r="L4" t="s">
        <v>14</v>
      </c>
    </row>
    <row r="5" spans="12:41" x14ac:dyDescent="0.25">
      <c r="M5" t="s">
        <v>15</v>
      </c>
    </row>
    <row r="6" spans="12:41" x14ac:dyDescent="0.25">
      <c r="M6" t="s">
        <v>18</v>
      </c>
      <c r="P6" s="2"/>
      <c r="Q6" s="2"/>
      <c r="AO6" s="1"/>
    </row>
    <row r="7" spans="12:41" x14ac:dyDescent="0.25">
      <c r="P7" s="2"/>
      <c r="Q7" s="2"/>
      <c r="AJ7" s="1"/>
    </row>
    <row r="9" spans="12:41" x14ac:dyDescent="0.25">
      <c r="M9" t="s">
        <v>16</v>
      </c>
      <c r="AJ9" s="1"/>
    </row>
    <row r="10" spans="12:41" x14ac:dyDescent="0.25">
      <c r="M10" t="s">
        <v>19</v>
      </c>
      <c r="P10" s="2"/>
      <c r="Q10" s="2"/>
      <c r="AJ10" s="1"/>
    </row>
    <row r="11" spans="12:41" x14ac:dyDescent="0.25">
      <c r="P11" s="2"/>
      <c r="Q11" s="2"/>
      <c r="AG11" s="1"/>
      <c r="AJ11" s="1"/>
    </row>
    <row r="12" spans="12:41" x14ac:dyDescent="0.25">
      <c r="L12" t="s">
        <v>5</v>
      </c>
      <c r="P12" s="2"/>
      <c r="Q12" s="2"/>
    </row>
    <row r="13" spans="12:41" x14ac:dyDescent="0.25">
      <c r="M13" t="s">
        <v>20</v>
      </c>
      <c r="P13" s="2"/>
      <c r="Q13" s="2"/>
      <c r="AO13" s="1"/>
    </row>
    <row r="14" spans="12:41" x14ac:dyDescent="0.25">
      <c r="P14" s="2"/>
      <c r="Q14" s="2"/>
      <c r="AO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71C1-2FCC-4770-8E2A-A1EFA7892098}">
  <dimension ref="L2:AO14"/>
  <sheetViews>
    <sheetView zoomScale="130" zoomScaleNormal="130" workbookViewId="0">
      <selection activeCell="F5" sqref="F5"/>
    </sheetView>
  </sheetViews>
  <sheetFormatPr defaultRowHeight="15" x14ac:dyDescent="0.25"/>
  <cols>
    <col min="16" max="17" width="16.42578125" bestFit="1" customWidth="1"/>
  </cols>
  <sheetData>
    <row r="2" spans="12:41" x14ac:dyDescent="0.25">
      <c r="N2" s="3"/>
    </row>
    <row r="4" spans="12:41" x14ac:dyDescent="0.25">
      <c r="L4" t="s">
        <v>14</v>
      </c>
    </row>
    <row r="5" spans="12:41" x14ac:dyDescent="0.25">
      <c r="M5" t="s">
        <v>15</v>
      </c>
    </row>
    <row r="6" spans="12:41" x14ac:dyDescent="0.25">
      <c r="M6" t="s">
        <v>18</v>
      </c>
      <c r="P6" s="2"/>
      <c r="Q6" s="2"/>
      <c r="AO6" s="1"/>
    </row>
    <row r="7" spans="12:41" x14ac:dyDescent="0.25">
      <c r="P7" s="2"/>
      <c r="Q7" s="2"/>
      <c r="AJ7" s="1"/>
    </row>
    <row r="9" spans="12:41" x14ac:dyDescent="0.25">
      <c r="M9" t="s">
        <v>16</v>
      </c>
      <c r="AL9" s="1"/>
    </row>
    <row r="10" spans="12:41" x14ac:dyDescent="0.25">
      <c r="M10" t="s">
        <v>19</v>
      </c>
      <c r="P10" s="2"/>
      <c r="Q10" s="2"/>
      <c r="AN10" s="1"/>
      <c r="AO10" s="1"/>
    </row>
    <row r="11" spans="12:41" x14ac:dyDescent="0.25">
      <c r="P11" s="2"/>
      <c r="Q11" s="2"/>
      <c r="AO11" s="1"/>
    </row>
    <row r="12" spans="12:41" x14ac:dyDescent="0.25">
      <c r="L12" t="s">
        <v>5</v>
      </c>
      <c r="R12" s="2"/>
      <c r="S12" s="2"/>
      <c r="AL12" s="1"/>
    </row>
    <row r="13" spans="12:41" x14ac:dyDescent="0.25">
      <c r="M13" t="s">
        <v>20</v>
      </c>
      <c r="P13" s="2"/>
      <c r="Q13" s="2"/>
      <c r="AO13" s="1"/>
    </row>
    <row r="14" spans="12:41" x14ac:dyDescent="0.25">
      <c r="P14" s="2"/>
      <c r="Q14" s="2"/>
      <c r="A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Sheet1</vt:lpstr>
      <vt:lpstr>median_F1</vt:lpstr>
      <vt:lpstr>median_other_group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2022-11-23T17:40:04Z</dcterms:created>
  <dcterms:modified xsi:type="dcterms:W3CDTF">2023-06-22T21:16:44Z</dcterms:modified>
</cp:coreProperties>
</file>